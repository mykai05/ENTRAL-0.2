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228"/>
  <bookViews>
    <workbookView activeTab="1" firstSheet="0"/>
  </bookViews>
  <sheets>
    <sheet name="Instructions" sheetId="1" r:id="rId1"/>
    <sheet name="Receivables" sheetId="2" r:id="rId2"/>
    <sheet name="_Lists" sheetId="3" state="veryHidden" r:id="rId3"/>
  </sheets>
  <definedNames>
    <definedName name="_dv_13" hidden="1">'_Lists'!$A$1:$A$7</definedName>
    <definedName name="_dv_14" hidden="1">'_Lists'!$B$1:$B$6</definedName>
    <definedName name="_dv_15" hidden="1">'_Lists'!$C$1:$C$6</definedName>
    <definedName name="_dv_18" hidden="1">'_Lists'!$D$1:$D$6</definedName>
    <definedName name="_dv_20" hidden="1">'_Lists'!$E$1:$E$8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h:mm"/>
    <numFmt numFmtId="166" formatCode="&quot;$&quot;#,##0.00;[Red]-&quot;$&quot;#,##0.00"/>
    <numFmt numFmtId="167" formatCode="0.00%"/>
    <numFmt numFmtId="168" formatCode="0"/>
    <numFmt numFmtId="169" formatCode="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4597A"/>
        <bgColor indexed="64"/>
      </patternFill>
    </fill>
    <fill>
      <patternFill patternType="solid">
        <fgColor rgb="FF3A7596"/>
        <bgColor indexed="64"/>
      </patternFill>
    </fill>
  </fills>
  <borders count="2">
    <border>
      <left/>
      <right/>
      <top/>
      <bottom/>
      <diagonal/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  <diagonal/>
    </border>
  </borders>
  <cellStyleXfs count="1">
    <xf numFmtId="0" fontId="0" fillId="0" borderId="0"/>
  </cellStyleXfs>
  <cellXfs count="19">
    <xf numFmtId="0" fontId="0" fillId="0" borderId="0" xfId="0" applyNumberFormat="1" applyFont="1" applyFill="1" applyBorder="1" applyProtection="1">
      <protection locked="1"/>
    </xf>
    <xf numFmtId="0" fontId="2" fillId="2" borderId="0" xfId="0" applyNumberFormat="1" applyFont="1" applyFill="1" applyBorder="1" applyProtection="1" applyAlignment="1">
      <alignment vertical="center"/>
      <protection locked="1"/>
    </xf>
    <xf numFmtId="0" fontId="0" fillId="0" borderId="0" xfId="0" applyNumberFormat="1" applyFont="1" applyFill="1" applyBorder="1" applyProtection="1" applyAlignment="1">
      <alignment vertical="top" wrapText="1"/>
      <protection locked="1"/>
    </xf>
    <xf numFmtId="0" fontId="1" fillId="3" borderId="1" xfId="0" applyNumberFormat="1" applyFont="1" applyFill="1" applyBorder="1" applyProtection="1" applyAlignment="1">
      <alignment horizontal="center" vertical="center" wrapText="1"/>
      <protection locked="1"/>
    </xf>
    <xf numFmtId="0" fontId="0" fillId="0" borderId="1" xfId="0" applyNumberFormat="1" applyFont="1" applyFill="1" applyBorder="1" applyProtection="1">
      <protection locked="0"/>
    </xf>
    <xf numFmtId="164" fontId="0" fillId="0" borderId="1" xfId="0" applyNumberFormat="1" applyFont="1" applyFill="1" applyBorder="1" applyProtection="1">
      <protection locked="0"/>
    </xf>
    <xf numFmtId="165" fontId="0" fillId="0" borderId="1" xfId="0" applyNumberFormat="1" applyFont="1" applyFill="1" applyBorder="1" applyProtection="1">
      <protection locked="0"/>
    </xf>
    <xf numFmtId="166" fontId="0" fillId="0" borderId="1" xfId="0" applyNumberFormat="1" applyFont="1" applyFill="1" applyBorder="1" applyProtection="1">
      <protection locked="0"/>
    </xf>
    <xf numFmtId="167" fontId="0" fillId="0" borderId="1" xfId="0" applyNumberFormat="1" applyFont="1" applyFill="1" applyBorder="1" applyProtection="1">
      <protection locked="0"/>
    </xf>
    <xf numFmtId="168" fontId="0" fillId="0" borderId="1" xfId="0" applyNumberFormat="1" applyFont="1" applyFill="1" applyBorder="1" applyProtection="1">
      <protection locked="0"/>
    </xf>
    <xf numFmtId="169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Protection="1">
      <protection locked="1"/>
    </xf>
    <xf numFmtId="164" fontId="0" fillId="0" borderId="1" xfId="0" applyNumberFormat="1" applyFont="1" applyFill="1" applyBorder="1" applyProtection="1">
      <protection locked="1"/>
    </xf>
    <xf numFmtId="165" fontId="0" fillId="0" borderId="1" xfId="0" applyNumberFormat="1" applyFont="1" applyFill="1" applyBorder="1" applyProtection="1">
      <protection locked="1"/>
    </xf>
    <xf numFmtId="166" fontId="0" fillId="0" borderId="1" xfId="0" applyNumberFormat="1" applyFont="1" applyFill="1" applyBorder="1" applyProtection="1">
      <protection locked="1"/>
    </xf>
    <xf numFmtId="167" fontId="0" fillId="0" borderId="1" xfId="0" applyNumberFormat="1" applyFont="1" applyFill="1" applyBorder="1" applyProtection="1">
      <protection locked="1"/>
    </xf>
    <xf numFmtId="168" fontId="0" fillId="0" borderId="1" xfId="0" applyNumberFormat="1" applyFont="1" applyFill="1" applyBorder="1" applyProtection="1">
      <protection locked="1"/>
    </xf>
    <xf numFmtId="169" fontId="0" fillId="0" borderId="1" xfId="0" applyNumberFormat="1" applyFont="1" applyFill="1" applyBorder="1" applyProtection="1">
      <protection locked="1"/>
    </xf>
    <xf numFmtId="0" fontId="1" fillId="4" borderId="1" xfId="0" applyNumberFormat="1" applyFont="1" applyFill="1" applyBorder="1" applyProtection="1" applyAlignment="1">
      <alignment vertical="center" wrapText="1"/>
      <protection locked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eceivables" displayName="Receivables" ref="A1:AC2" headerRowCount="1" totalsRowShown="0">
  <autoFilter ref="A1:AC2"/>
  <tableColumns count="29">
    <tableColumn id="1" name="Invoice_ID"/>
    <tableColumn id="2" name="Project_ID"/>
    <tableColumn id="3" name="Customer_Record_Ref"/>
    <tableColumn id="4" name="Issue_Date"/>
    <tableColumn id="5" name="Due_Date"/>
    <tableColumn id="6" name="Control_Date"/>
    <tableColumn id="7" name="Original_Amount"/>
    <tableColumn id="8" name="Credits_Applied"/>
    <tableColumn id="9" name="Payments_Applied"/>
    <tableColumn id="10" name="Calculated_Balance">
      <calculatedColumnFormula>ROUND(Receivables[[#This Row],[Original_Amount]]-Receivables[[#This Row],[Credits_Applied]]-Receivables[[#This Row],[Payments_Applied]],2)</calculatedColumnFormula>
    </tableColumn>
    <tableColumn id="11" name="Ledger_Balance"/>
    <tableColumn id="12" name="Balance_Variance">
      <calculatedColumnFormula>ROUND(Receivables[[#This Row],[Calculated_Balance]]-Receivables[[#This Row],[Ledger_Balance]],2)</calculatedColumnFormula>
    </tableColumn>
    <tableColumn id="13" name="Invoice_Status"/>
    <tableColumn id="14" name="Contact_Eligibility"/>
    <tableColumn id="15" name="Dispute_Status"/>
    <tableColumn id="16" name="Promise_Amount"/>
    <tableColumn id="17" name="Promise_Date"/>
    <tableColumn id="18" name="Promise_Status"/>
    <tableColumn id="19" name="Last_Contact_Date"/>
    <tableColumn id="20" name="Next_Action_Type"/>
    <tableColumn id="21" name="Next_Action_Date"/>
    <tableColumn id="22" name="Owner"/>
    <tableColumn id="23" name="Aging_Days">
      <calculatedColumnFormula>IF(OR(Receivables[[#This Row],[Calculated_Balance]]&lt;=0,Receivables[[#This Row],[Due_Date]]="",Receivables[[#This Row],[Control_Date]]=""),0,MAX(0,Receivables[[#This Row],[Control_Date]]-Receivables[[#This Row],[Due_Date]]))</calculatedColumnFormula>
    </tableColumn>
    <tableColumn id="24" name="Aging_Bucket">
      <calculatedColumnFormula>IF(Receivables[[#This Row],[Calculated_Balance]]&lt;=0,"CURRENT",IF(Receivables[[#This Row],[Aging_Days]]=0,"CURRENT",IF(Receivables[[#This Row],[Aging_Days]]&lt;=30,"1-30",IF(Receivables[[#This Row],[Aging_Days]]&lt;=60,"31-60",IF(Receivables[[#This Row],[Aging_Days]]&lt;=90,"61-90","91+")))))</calculatedColumnFormula>
    </tableColumn>
    <tableColumn id="25" name="Action_Flag">
      <calculatedColumnFormula>IF(OR(Receivables[[#This Row],[Control_Date]]="",Receivables[[#This Row],[Calculated_Balance]]="",Receivables[[#This Row],[Ledger_Balance]]="",ABS(Receivables[[#This Row],[Balance_Variance]])&gt;0.009),"HOLD",IF(Receivables[[#This Row],[Calculated_Balance]]&lt;=0,"CLOSED",IF(OR(NOT(OR(Receivables[[#This Row],[Contact_Eligibility]]="ELIGIBLE",Receivables[[#This Row],[Contact_Eligibility]]="PREFERENCE_LIMITED")),Receivables[[#This Row],[Invoice_Status]]="PAID",Receivables[[#This Row],[Invoice_Status]]="CREDITED",Receivables[[#This Row],[Invoice_Status]]="VOID",AND(Receivables[[#This Row],[Dispute_Status]]&lt;&gt;"NONE",Receivables[[#This Row],[Dispute_Status]]&lt;&gt;"RESOLVED")),"HOLD",IF(Receivables[[#This Row],[Next_Action_Date]]="","DUE",IF(Receivables[[#This Row],[Next_Action_Date]]&lt;Receivables[[#This Row],[Control_Date]],"OVERDUE",IF(Receivables[[#This Row],[Next_Action_Date]]=Receivables[[#This Row],[Control_Date]],"DUE","NOT_DUE"))))))</calculatedColumnFormula>
    </tableColumn>
    <tableColumn id="26" name="Record_Quality_Flag">
      <calculatedColumnFormula>IF(OR(Receivables[[#This Row],[Invoice_ID]]="",Receivables[[#This Row],[Project_ID]]="",Receivables[[#This Row],[Customer_Record_Ref]]="",Receivables[[#This Row],[Issue_Date]]="",Receivables[[#This Row],[Due_Date]]="",Receivables[[#This Row],[Control_Date]]="",Receivables[[#This Row],[Issue_Date]]&gt;Receivables[[#This Row],[Control_Date]],Receivables[[#This Row],[Original_Amount]]="",Receivables[[#This Row],[Original_Amount]]&lt;0,Receivables[[#This Row],[Credits_Applied]]="",Receivables[[#This Row],[Credits_Applied]]&lt;0,Receivables[[#This Row],[Payments_Applied]]="",Receivables[[#This Row],[Payments_Applied]]&lt;0,Receivables[[#This Row],[Calculated_Balance]]="",Receivables[[#This Row],[Ledger_Balance]]="",Receivables[[#This Row],[Ledger_Balance]]&lt;0,Receivables[[#This Row],[Invoice_Status]]="",Receivables[[#This Row],[Contact_Eligibility]]="",Receivables[[#This Row],[Dispute_Status]]="",Receivables[[#This Row],[Promise_Status]]="",Receivables[[#This Row],[Owner]]="",Receivables[[#This Row],[Invoice_Evidence_Ref]]="",Receivables[[#This Row],[Latest_Event_Evidence_Ref]]="",ABS(Receivables[[#This Row],[Balance_Variance]])&gt;0.009,AND(Receivables[[#This Row],[Calculated_Balance]]&gt;0,OR(Receivables[[#This Row],[Invoice_Status]]="PAID",Receivables[[#This Row],[Invoice_Status]]="CREDITED",Receivables[[#This Row],[Invoice_Status]]="VOID")),AND(Receivables[[#This Row],[Calculated_Balance]]&lt;=0,NOT(OR(Receivables[[#This Row],[Invoice_Status]]="PAID",Receivables[[#This Row],[Invoice_Status]]="CREDITED",Receivables[[#This Row],[Invoice_Status]]="VOID",Receivables[[#This Row],[Invoice_Status]]="WRITE_OFF_REVIEW"))),AND(Receivables[[#This Row],[Invoice_Status]]="DISPUTED",Receivables[[#This Row],[Dispute_Status]]="NONE"),AND(Receivables[[#This Row],[Promise_Status]]="OPEN",OR(Receivables[[#This Row],[Promise_Amount]]="",Receivables[[#This Row],[Promise_Amount]]&lt;0,Receivables[[#This Row],[Promise_Date]]="")),AND(Receivables[[#This Row],[Promise_Status]]="NONE",OR(Receivables[[#This Row],[Promise_Amount]]&lt;&gt;"",Receivables[[#This Row],[Promise_Date]]&lt;&gt;"")),AND(Receivables[[#This Row],[Calculated_Balance]]&gt;0,OR(Receivables[[#This Row],[Next_Action_Type]]="",Receivables[[#This Row],[Next_Action_Type]]="NONE",Receivables[[#This Row],[Next_Action_Date]]=""))),"REVIEW","COMPLETE")</calculatedColumnFormula>
    </tableColumn>
    <tableColumn id="27" name="Invoice_Evidence_Ref"/>
    <tableColumn id="28" name="Latest_Event_Evidence_Ref"/>
    <tableColumn id="29" name="Notes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D40"/>
  <sheetViews>
    <sheetView workbookViewId="0"/>
  </sheetViews>
  <sheetFormatPr defaultRowHeight="15"/>
  <cols>
    <col min="1" max="1" width="34" customWidth="1"/>
    <col min="2" max="2" width="22" customWidth="1"/>
    <col min="3" max="3" width="16" customWidth="1"/>
    <col min="4" max="4" width="90" customWidth="1"/>
  </cols>
  <sheetData>
    <row r="1" ht="30" customHeight="1">
      <c r="A1" s="1" t="inlineStr">
        <is>
          <t>Billing and Collections Accelerator</t>
        </is>
      </c>
    </row>
    <row r="2">
      <c r="A2" s="2" t="inlineStr">
        <is>
          <t>Use verified source values only. Input cells are unlocked; formula cells are locked and fill through the Excel table.</t>
        </is>
      </c>
    </row>
    <row r="4">
      <c r="A4" s="18" t="inlineStr">
        <is>
          <t>Operating instructions</t>
        </is>
      </c>
    </row>
    <row r="5">
      <c r="A5" s="2" t="inlineStr">
        <is>
          <t>• Delete the blank starter row only after adding the first verified operating row.</t>
        </is>
      </c>
    </row>
    <row r="6">
      <c r="A6" s="2" t="inlineStr">
        <is>
          <t>• Set every explicit control or as-of date from evidence; the workbook never substitutes the device date.</t>
        </is>
      </c>
    </row>
    <row r="7">
      <c r="A7" s="2" t="inlineStr">
        <is>
          <t>• Paste values only. Text beginning with =, +, -, or @ is rejected to prevent spreadsheet formula injection.</t>
        </is>
      </c>
    </row>
    <row r="8">
      <c r="A8" s="2" t="inlineStr">
        <is>
          <t>• Keep calculated columns protected and reconcile source records before relying on a queue or result.</t>
        </is>
      </c>
    </row>
    <row r="9">
      <c r="A9" s="2" t="inlineStr">
        <is>
          <t>• The editable-source archive includes the import CSV, fictional CSV, exact formulas, and governance instructions.</t>
        </is>
      </c>
    </row>
    <row r="11">
      <c r="A11" s="18" t="inlineStr">
        <is>
          <t>Column</t>
        </is>
      </c>
      <c r="B11" s="18" t="inlineStr">
        <is>
          <t>Required</t>
        </is>
      </c>
      <c r="C11" s="18" t="inlineStr">
        <is>
          <t>Type</t>
        </is>
      </c>
      <c r="D11" s="18" t="inlineStr">
        <is>
          <t>Allowed values / guidance</t>
        </is>
      </c>
    </row>
    <row r="12">
      <c r="A12" s="2" t="inlineStr">
        <is>
          <t>Invoice_ID</t>
        </is>
      </c>
      <c r="B12" s="2" t="inlineStr">
        <is>
          <t>Yes</t>
        </is>
      </c>
      <c r="C12" s="2" t="inlineStr">
        <is>
          <t>text</t>
        </is>
      </c>
      <c r="D12" s="2" t="inlineStr">
        <is>
          <t>Always. Actual unique accounting invoice reference Prevents duplicate invoice records</t>
        </is>
      </c>
    </row>
    <row r="13">
      <c r="A13" s="2" t="inlineStr">
        <is>
          <t>Project_ID</t>
        </is>
      </c>
      <c r="B13" s="2" t="inlineStr">
        <is>
          <t>Yes</t>
        </is>
      </c>
      <c r="C13" s="2" t="inlineStr">
        <is>
          <t>text</t>
        </is>
      </c>
      <c r="D13" s="2" t="inlineStr">
        <is>
          <t>Always. Stable internal project reference Links invoice to performed work</t>
        </is>
      </c>
    </row>
    <row r="14">
      <c r="A14" s="2" t="inlineStr">
        <is>
          <t>Customer_Record_Ref</t>
        </is>
      </c>
      <c r="B14" s="2" t="inlineStr">
        <is>
          <t>Yes</t>
        </is>
      </c>
      <c r="C14" s="2" t="inlineStr">
        <is>
          <t>text</t>
        </is>
      </c>
      <c r="D14" s="2" t="inlineStr">
        <is>
          <t>Always. Secure customer reference; no payment credential Links approved recipient record</t>
        </is>
      </c>
    </row>
    <row r="15">
      <c r="A15" s="2" t="inlineStr">
        <is>
          <t>Issue_Date</t>
        </is>
      </c>
      <c r="B15" s="2" t="inlineStr">
        <is>
          <t>Yes</t>
        </is>
      </c>
      <c r="C15" s="2" t="inlineStr">
        <is>
          <t>date</t>
        </is>
      </c>
      <c r="D15" s="2" t="inlineStr">
        <is>
          <t>Always. Actual accounting issue date Prevents draft invoices entering queue</t>
        </is>
      </c>
    </row>
    <row r="16">
      <c r="A16" s="2" t="inlineStr">
        <is>
          <t>Due_Date</t>
        </is>
      </c>
      <c r="B16" s="2" t="inlineStr">
        <is>
          <t>Yes</t>
        </is>
      </c>
      <c r="C16" s="2" t="inlineStr">
        <is>
          <t>date</t>
        </is>
      </c>
      <c r="D16" s="2" t="inlineStr">
        <is>
          <t>Always. Date stated by authoritative invoice/terms Drives aging</t>
        </is>
      </c>
    </row>
    <row r="17">
      <c r="A17" s="2" t="inlineStr">
        <is>
          <t>Control_Date</t>
        </is>
      </c>
      <c r="B17" s="2" t="inlineStr">
        <is>
          <t>Yes</t>
        </is>
      </c>
      <c r="C17" s="2" t="inlineStr">
        <is>
          <t>date</t>
        </is>
      </c>
      <c r="D17" s="2" t="inlineStr">
        <is>
          <t>Always. Verified local operating date used by every age and due calculation Makes formula readback stable and auditable</t>
        </is>
      </c>
    </row>
    <row r="18">
      <c r="A18" s="2" t="inlineStr">
        <is>
          <t>Original_Amount</t>
        </is>
      </c>
      <c r="B18" s="2" t="inlineStr">
        <is>
          <t>Yes</t>
        </is>
      </c>
      <c r="C18" s="2" t="inlineStr">
        <is>
          <t>currency</t>
        </is>
      </c>
      <c r="D18" s="2" t="inlineStr">
        <is>
          <t>Always. Actual issued amount Starts balance reconciliation</t>
        </is>
      </c>
    </row>
    <row r="19">
      <c r="A19" s="2" t="inlineStr">
        <is>
          <t>Credits_Applied</t>
        </is>
      </c>
      <c r="B19" s="2" t="inlineStr">
        <is>
          <t>Yes</t>
        </is>
      </c>
      <c r="C19" s="2" t="inlineStr">
        <is>
          <t>currency</t>
        </is>
      </c>
      <c r="D19" s="2" t="inlineStr">
        <is>
          <t>Always. Verified credits; default zero Preserves issued adjustments</t>
        </is>
      </c>
    </row>
    <row r="20">
      <c r="A20" s="2" t="inlineStr">
        <is>
          <t>Payments_Applied</t>
        </is>
      </c>
      <c r="B20" s="2" t="inlineStr">
        <is>
          <t>Yes</t>
        </is>
      </c>
      <c r="C20" s="2" t="inlineStr">
        <is>
          <t>currency</t>
        </is>
      </c>
      <c r="D20" s="2" t="inlineStr">
        <is>
          <t>Always. Verified settled payments; default zero Prevents promises being counted as cash</t>
        </is>
      </c>
    </row>
    <row r="21">
      <c r="A21" s="2" t="inlineStr">
        <is>
          <t>Calculated_Balance</t>
        </is>
      </c>
      <c r="B21" s="2" t="inlineStr">
        <is>
          <t>Conditional or optional</t>
        </is>
      </c>
      <c r="C21" s="2" t="inlineStr">
        <is>
          <t>currency</t>
        </is>
      </c>
      <c r="D21" s="2" t="inlineStr">
        <is>
          <t>Calculated and locked: =ROUND([@[Original_Amount]]-[@[Credits_Applied]]-[@[Payments_Applied]],2)</t>
        </is>
      </c>
    </row>
    <row r="22">
      <c r="A22" s="2" t="inlineStr">
        <is>
          <t>Ledger_Balance</t>
        </is>
      </c>
      <c r="B22" s="2" t="inlineStr">
        <is>
          <t>Yes</t>
        </is>
      </c>
      <c r="C22" s="2" t="inlineStr">
        <is>
          <t>currency</t>
        </is>
      </c>
      <c r="D22" s="2" t="inlineStr">
        <is>
          <t>Always. Current authoritative ledger balance Enables reconciliation</t>
        </is>
      </c>
    </row>
    <row r="23">
      <c r="A23" s="2" t="inlineStr">
        <is>
          <t>Balance_Variance</t>
        </is>
      </c>
      <c r="B23" s="2" t="inlineStr">
        <is>
          <t>Conditional or optional</t>
        </is>
      </c>
      <c r="C23" s="2" t="inlineStr">
        <is>
          <t>currency</t>
        </is>
      </c>
      <c r="D23" s="2" t="inlineStr">
        <is>
          <t>Calculated and locked: =ROUND([@[Calculated_Balance]]-[@[Ledger_Balance]],2)</t>
        </is>
      </c>
    </row>
    <row r="24">
      <c r="A24" s="2" t="inlineStr">
        <is>
          <t>Invoice_Status</t>
        </is>
      </c>
      <c r="B24" s="2" t="inlineStr">
        <is>
          <t>Yes</t>
        </is>
      </c>
      <c r="C24" s="2" t="inlineStr">
        <is>
          <t>text</t>
        </is>
      </c>
      <c r="D24" s="2" t="inlineStr">
        <is>
          <t>ISSUED; PARTIALLY_PAID; PAID; DISPUTED; CREDITED; VOID; WRITE_OFF_REVIEW</t>
        </is>
      </c>
    </row>
    <row r="25">
      <c r="A25" s="2" t="inlineStr">
        <is>
          <t>Contact_Eligibility</t>
        </is>
      </c>
      <c r="B25" s="2" t="inlineStr">
        <is>
          <t>Yes</t>
        </is>
      </c>
      <c r="C25" s="2" t="inlineStr">
        <is>
          <t>text</t>
        </is>
      </c>
      <c r="D25" s="2" t="inlineStr">
        <is>
          <t>ELIGIBLE; PREFERENCE_LIMITED; OPTED_OUT; WRONG_CONTACT; LEGAL_HOLD; UNKNOWN</t>
        </is>
      </c>
    </row>
    <row r="26">
      <c r="A26" s="2" t="inlineStr">
        <is>
          <t>Dispute_Status</t>
        </is>
      </c>
      <c r="B26" s="2" t="inlineStr">
        <is>
          <t>Yes</t>
        </is>
      </c>
      <c r="C26" s="2" t="inlineStr">
        <is>
          <t>text</t>
        </is>
      </c>
      <c r="D26" s="2" t="inlineStr">
        <is>
          <t>NONE; CUSTOMER_QUESTION; INTERNAL_REVIEW; RESPONSE_DUE; RESOLVED; ESCALATED</t>
        </is>
      </c>
    </row>
    <row r="27">
      <c r="A27" s="2" t="inlineStr">
        <is>
          <t>Promise_Amount</t>
        </is>
      </c>
      <c r="B27" s="2" t="inlineStr">
        <is>
          <t>Conditional or optional</t>
        </is>
      </c>
      <c r="C27" s="2" t="inlineStr">
        <is>
          <t>currency</t>
        </is>
      </c>
      <c r="D27" s="2" t="inlineStr">
        <is>
          <t>When promise open. Customer-stated amount; not payment Records commitment without inflating cash</t>
        </is>
      </c>
    </row>
    <row r="28">
      <c r="A28" s="2" t="inlineStr">
        <is>
          <t>Promise_Date</t>
        </is>
      </c>
      <c r="B28" s="2" t="inlineStr">
        <is>
          <t>Conditional or optional</t>
        </is>
      </c>
      <c r="C28" s="2" t="inlineStr">
        <is>
          <t>date</t>
        </is>
      </c>
      <c r="D28" s="2" t="inlineStr">
        <is>
          <t>When promise open. Customer-stated date Drives promise review</t>
        </is>
      </c>
    </row>
    <row r="29">
      <c r="A29" s="2" t="inlineStr">
        <is>
          <t>Promise_Status</t>
        </is>
      </c>
      <c r="B29" s="2" t="inlineStr">
        <is>
          <t>Yes</t>
        </is>
      </c>
      <c r="C29" s="2" t="inlineStr">
        <is>
          <t>text</t>
        </is>
      </c>
      <c r="D29" s="2" t="inlineStr">
        <is>
          <t>NONE; OPEN; KEPT; MISSED; REPLACED; WITHDRAWN</t>
        </is>
      </c>
    </row>
    <row r="30">
      <c r="A30" s="2" t="inlineStr">
        <is>
          <t>Last_Contact_Date</t>
        </is>
      </c>
      <c r="B30" s="2" t="inlineStr">
        <is>
          <t>Conditional or optional</t>
        </is>
      </c>
      <c r="C30" s="2" t="inlineStr">
        <is>
          <t>date</t>
        </is>
      </c>
      <c r="D30" s="2" t="inlineStr">
        <is>
          <t>After contact. Actual material contact date Supports audit and cadence</t>
        </is>
      </c>
    </row>
    <row r="31">
      <c r="A31" s="2" t="inlineStr">
        <is>
          <t>Next_Action_Type</t>
        </is>
      </c>
      <c r="B31" s="2" t="inlineStr">
        <is>
          <t>Conditional or optional</t>
        </is>
      </c>
      <c r="C31" s="2" t="inlineStr">
        <is>
          <t>text</t>
        </is>
      </c>
      <c r="D31" s="2" t="inlineStr">
        <is>
          <t>VERIFY_RECORD; SEND_INVOICE_COPY; COURTESY_REMINDER; PAST_DUE_FOLLOW_UP; PROMISE_CHECK; DISPUTE_RESPONSE; OWNER_REVIEW; NONE</t>
        </is>
      </c>
    </row>
    <row r="32">
      <c r="A32" s="2" t="inlineStr">
        <is>
          <t>Next_Action_Date</t>
        </is>
      </c>
      <c r="B32" s="2" t="inlineStr">
        <is>
          <t>Conditional or optional</t>
        </is>
      </c>
      <c r="C32" s="2" t="inlineStr">
        <is>
          <t>date</t>
        </is>
      </c>
      <c r="D32" s="2" t="inlineStr">
        <is>
          <t>When next action is not NONE. Assigned or promised date Drives queue</t>
        </is>
      </c>
    </row>
    <row r="33">
      <c r="A33" s="2" t="inlineStr">
        <is>
          <t>Owner</t>
        </is>
      </c>
      <c r="B33" s="2" t="inlineStr">
        <is>
          <t>Conditional or optional</t>
        </is>
      </c>
      <c r="C33" s="2" t="inlineStr">
        <is>
          <t>text</t>
        </is>
      </c>
      <c r="D33" s="2" t="inlineStr">
        <is>
          <t>When balance open. One accountable internal owner Prevents ownerless balances</t>
        </is>
      </c>
    </row>
    <row r="34">
      <c r="A34" s="2" t="inlineStr">
        <is>
          <t>Aging_Days</t>
        </is>
      </c>
      <c r="B34" s="2" t="inlineStr">
        <is>
          <t>Conditional or optional</t>
        </is>
      </c>
      <c r="C34" s="2" t="inlineStr">
        <is>
          <t>integer</t>
        </is>
      </c>
      <c r="D34" s="2" t="inlineStr">
        <is>
          <t>Calculated and locked: =IF(OR([@[Calculated_Balance]]&lt;=0,[@[Due_Date]]="",[@[Control_Date]]=""),0,MAX(0,[@[Control_Date]]-[@[Due_Date]]))</t>
        </is>
      </c>
    </row>
    <row r="35">
      <c r="A35" s="2" t="inlineStr">
        <is>
          <t>Aging_Bucket</t>
        </is>
      </c>
      <c r="B35" s="2" t="inlineStr">
        <is>
          <t>Conditional or optional</t>
        </is>
      </c>
      <c r="C35" s="2" t="inlineStr">
        <is>
          <t>text</t>
        </is>
      </c>
      <c r="D35" s="2" t="inlineStr">
        <is>
          <t>Calculated and locked: =IF([@[Calculated_Balance]]&lt;=0,"CURRENT",IF([@[Aging_Days]]=0,"CURRENT",IF([@[Aging_Days]]&lt;=30,"1-30",IF([@[Aging_Days]]&lt;=60,"31-60",IF([@[Aging_Days]]&lt;=90,"61-90","91+")))))</t>
        </is>
      </c>
    </row>
    <row r="36">
      <c r="A36" s="2" t="inlineStr">
        <is>
          <t>Action_Flag</t>
        </is>
      </c>
      <c r="B36" s="2" t="inlineStr">
        <is>
          <t>Conditional or optional</t>
        </is>
      </c>
      <c r="C36" s="2" t="inlineStr">
        <is>
          <t>text</t>
        </is>
      </c>
      <c r="D36" s="2" t="inlineStr">
        <is>
          <t>Calculated and locked: =IF(OR([@[Control_Date]]="",[@[Calculated_Balance]]="",[@[Ledger_Balance]]="",ABS([@[Balance_Variance]])&gt;0.009),"HOLD",IF([@[Calculated_Balance]]&lt;=0,"CLOSED",IF(OR(NOT(OR([@[Contact_Eligibility]]="ELIGIBLE",[@[Contact_Eligibility]]="PREFERENCE_LIMITED")),[@[Invoice_Status]]="PAID",[@[Invoice_Status]]="CREDITED",[@[Invoice_Status]]="VOID",AND([@[Dispute_Status]]&lt;&gt;"NONE",[@[Dispute_Status]]&lt;&gt;"RESOLVED")),"HOLD",IF([@[Next_Action_Date]]="","DUE",IF([@[Next_Action_Date]]&lt;[@[Control_Date]],"OVERDUE",IF([@[Next_Action_Date]]=[@[Control_Date]],"DUE","NOT_DUE"))))))</t>
        </is>
      </c>
    </row>
    <row r="37">
      <c r="A37" s="2" t="inlineStr">
        <is>
          <t>Record_Quality_Flag</t>
        </is>
      </c>
      <c r="B37" s="2" t="inlineStr">
        <is>
          <t>Conditional or optional</t>
        </is>
      </c>
      <c r="C37" s="2" t="inlineStr">
        <is>
          <t>text</t>
        </is>
      </c>
      <c r="D37" s="2" t="inlineStr">
        <is>
          <t>Calculated and locked: =IF(OR([@[Invoice_ID]]="",[@[Project_ID]]="",[@[Customer_Record_Ref]]="",[@[Issue_Date]]="",[@[Due_Date]]="",[@[Control_Date]]="",[@[Issue_Date]]&gt;[@[Control_Date]],[@[Original_Amount]]="",[@[Original_Amount]]&lt;0,[@[Credits_Applied]]="",[@[Credits_Applied]]&lt;0,[@[Payments_Applied]]="",[@[Payments_Applied]]&lt;0,[@[Calculated_Balance]]="",[@[Ledger_Balance]]="",[@[Ledger_Balance]]&lt;0,[@[Invoice_Status]]="",[@[Contact_Eligibility]]="",[@[Dispute_Status]]="",[@[Promise_Status]]="",[@[Owner]]="",[@[Invoice_Evidence_Ref]]="",[@[Latest_Event_Evidence_Ref]]="",ABS([@[Balance_Variance]])&gt;0.009,AND([@[Calculated_Balance]]&gt;0,OR([@[Invoice_Status]]="PAID",[@[Invoice_Status]]="CREDITED",[@[Invoice_Status]]="VOID")),AND([@[Calculated_Balance]]&lt;=0,NOT(OR([@[Invoice_Status]]="PAID",[@[Invoice_Status]]="CREDITED",[@[Invoice_Status]]="VOID",[@[Invoice_Status]]="WRITE_OFF_REVIEW"))),AND([@[Invoice_Status]]="DISPUTED",[@[Dispute_Status]]="NONE"),AND([@[Promise_Status]]="OPEN",OR([@[Promise_Amount]]="",[@[Promise_Amount]]&lt;0,[@[Promise_Date]]="")),AND([@[Promise_Status]]="NONE",OR([@[Promise_Amount]]&lt;&gt;"",[@[Promise_Date]]&lt;&gt;"")),AND([@[Calculated_Balance]]&gt;0,OR([@[Next_Action_Type]]="",[@[Next_Action_Type]]="NONE",[@[Next_Action_Date]]=""))),"REVIEW","COMPLETE")</t>
        </is>
      </c>
    </row>
    <row r="38">
      <c r="A38" s="2" t="inlineStr">
        <is>
          <t>Invoice_Evidence_Ref</t>
        </is>
      </c>
      <c r="B38" s="2" t="inlineStr">
        <is>
          <t>Yes</t>
        </is>
      </c>
      <c r="C38" s="2" t="inlineStr">
        <is>
          <t>text</t>
        </is>
      </c>
      <c r="D38" s="2" t="inlineStr">
        <is>
          <t>Always. Secure invoice/delivery reference Binds actual issuance</t>
        </is>
      </c>
    </row>
    <row r="39">
      <c r="A39" s="2" t="inlineStr">
        <is>
          <t>Latest_Event_Evidence_Ref</t>
        </is>
      </c>
      <c r="B39" s="2" t="inlineStr">
        <is>
          <t>Conditional or optional</t>
        </is>
      </c>
      <c r="C39" s="2" t="inlineStr">
        <is>
          <t>text</t>
        </is>
      </c>
      <c r="D39" s="2" t="inlineStr">
        <is>
          <t>After material event. Secure payment credit contact or dispute reference Binds current state</t>
        </is>
      </c>
    </row>
    <row r="40">
      <c r="A40" s="2" t="inlineStr">
        <is>
          <t>Notes</t>
        </is>
      </c>
      <c r="B40" s="2" t="inlineStr">
        <is>
          <t>Conditional or optional</t>
        </is>
      </c>
      <c r="C40" s="2" t="inlineStr">
        <is>
          <t>text</t>
        </is>
      </c>
      <c r="D40" s="2" t="inlineStr">
        <is>
          <t>Optional. Facts only; no payment credentials or unnecessary personal data Adds bounded context</t>
        </is>
      </c>
    </row>
  </sheetData>
  <mergeCells count="2">
    <mergeCell ref="A1:D1"/>
    <mergeCell ref="A2:D2"/>
  </mergeCell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3" customWidth="1"/>
    <col min="3" max="3" width="21" customWidth="1"/>
    <col min="4" max="4" width="13" customWidth="1"/>
    <col min="5" max="5" width="13" customWidth="1"/>
    <col min="6" max="6" width="14" customWidth="1"/>
    <col min="7" max="7" width="17" customWidth="1"/>
    <col min="8" max="8" width="17" customWidth="1"/>
    <col min="9" max="9" width="18" customWidth="1"/>
    <col min="10" max="10" width="20" customWidth="1"/>
    <col min="11" max="11" width="16" customWidth="1"/>
    <col min="12" max="12" width="18" customWidth="1"/>
    <col min="13" max="13" width="16" customWidth="1"/>
    <col min="14" max="14" width="21" customWidth="1"/>
    <col min="15" max="15" width="16" customWidth="1"/>
    <col min="16" max="16" width="16" customWidth="1"/>
    <col min="17" max="17" width="14" customWidth="1"/>
    <col min="18" max="18" width="16" customWidth="1"/>
    <col min="19" max="19" width="19" customWidth="1"/>
    <col min="20" max="20" width="18" customWidth="1"/>
    <col min="21" max="21" width="18" customWidth="1"/>
    <col min="22" max="22" width="13" customWidth="1"/>
    <col min="23" max="23" width="13" customWidth="1"/>
    <col min="24" max="24" width="14" customWidth="1"/>
    <col min="25" max="25" width="13" customWidth="1"/>
    <col min="26" max="26" width="21" customWidth="1"/>
    <col min="27" max="27" width="22" customWidth="1"/>
    <col min="28" max="28" width="27" customWidth="1"/>
    <col min="29" max="29" width="13" customWidth="1"/>
  </cols>
  <sheetData>
    <row r="1" ht="24" customHeight="1">
      <c r="A1" s="3" t="inlineStr">
        <is>
          <t>Invoice_ID</t>
        </is>
      </c>
      <c r="B1" s="3" t="inlineStr">
        <is>
          <t>Project_ID</t>
        </is>
      </c>
      <c r="C1" s="3" t="inlineStr">
        <is>
          <t>Customer_Record_Ref</t>
        </is>
      </c>
      <c r="D1" s="3" t="inlineStr">
        <is>
          <t>Issue_Date</t>
        </is>
      </c>
      <c r="E1" s="3" t="inlineStr">
        <is>
          <t>Due_Date</t>
        </is>
      </c>
      <c r="F1" s="3" t="inlineStr">
        <is>
          <t>Control_Date</t>
        </is>
      </c>
      <c r="G1" s="3" t="inlineStr">
        <is>
          <t>Original_Amount</t>
        </is>
      </c>
      <c r="H1" s="3" t="inlineStr">
        <is>
          <t>Credits_Applied</t>
        </is>
      </c>
      <c r="I1" s="3" t="inlineStr">
        <is>
          <t>Payments_Applied</t>
        </is>
      </c>
      <c r="J1" s="3" t="inlineStr">
        <is>
          <t>Calculated_Balance</t>
        </is>
      </c>
      <c r="K1" s="3" t="inlineStr">
        <is>
          <t>Ledger_Balance</t>
        </is>
      </c>
      <c r="L1" s="3" t="inlineStr">
        <is>
          <t>Balance_Variance</t>
        </is>
      </c>
      <c r="M1" s="3" t="inlineStr">
        <is>
          <t>Invoice_Status</t>
        </is>
      </c>
      <c r="N1" s="3" t="inlineStr">
        <is>
          <t>Contact_Eligibility</t>
        </is>
      </c>
      <c r="O1" s="3" t="inlineStr">
        <is>
          <t>Dispute_Status</t>
        </is>
      </c>
      <c r="P1" s="3" t="inlineStr">
        <is>
          <t>Promise_Amount</t>
        </is>
      </c>
      <c r="Q1" s="3" t="inlineStr">
        <is>
          <t>Promise_Date</t>
        </is>
      </c>
      <c r="R1" s="3" t="inlineStr">
        <is>
          <t>Promise_Status</t>
        </is>
      </c>
      <c r="S1" s="3" t="inlineStr">
        <is>
          <t>Last_Contact_Date</t>
        </is>
      </c>
      <c r="T1" s="3" t="inlineStr">
        <is>
          <t>Next_Action_Type</t>
        </is>
      </c>
      <c r="U1" s="3" t="inlineStr">
        <is>
          <t>Next_Action_Date</t>
        </is>
      </c>
      <c r="V1" s="3" t="inlineStr">
        <is>
          <t>Owner</t>
        </is>
      </c>
      <c r="W1" s="3" t="inlineStr">
        <is>
          <t>Aging_Days</t>
        </is>
      </c>
      <c r="X1" s="3" t="inlineStr">
        <is>
          <t>Aging_Bucket</t>
        </is>
      </c>
      <c r="Y1" s="3" t="inlineStr">
        <is>
          <t>Action_Flag</t>
        </is>
      </c>
      <c r="Z1" s="3" t="inlineStr">
        <is>
          <t>Record_Quality_Flag</t>
        </is>
      </c>
      <c r="AA1" s="3" t="inlineStr">
        <is>
          <t>Invoice_Evidence_Ref</t>
        </is>
      </c>
      <c r="AB1" s="3" t="inlineStr">
        <is>
          <t>Latest_Event_Evidence_Ref</t>
        </is>
      </c>
      <c r="AC1" s="3" t="inlineStr">
        <is>
          <t>Notes</t>
        </is>
      </c>
    </row>
    <row r="2">
      <c r="A2" s="4"/>
      <c r="B2" s="4"/>
      <c r="C2" s="4"/>
      <c r="D2" s="5"/>
      <c r="E2" s="5"/>
      <c r="F2" s="5"/>
      <c r="G2" s="7"/>
      <c r="H2" s="7"/>
      <c r="I2" s="7"/>
      <c r="J2" s="14">
        <f>ROUND(Receivables[[#This Row],[Original_Amount]]-Receivables[[#This Row],[Credits_Applied]]-Receivables[[#This Row],[Payments_Applied]],2)</f>
      </c>
      <c r="K2" s="7"/>
      <c r="L2" s="14">
        <f>ROUND(Receivables[[#This Row],[Calculated_Balance]]-Receivables[[#This Row],[Ledger_Balance]],2)</f>
      </c>
      <c r="M2" s="4"/>
      <c r="N2" s="4"/>
      <c r="O2" s="4"/>
      <c r="P2" s="7"/>
      <c r="Q2" s="5"/>
      <c r="R2" s="4"/>
      <c r="S2" s="5"/>
      <c r="T2" s="4"/>
      <c r="U2" s="5"/>
      <c r="V2" s="4"/>
      <c r="W2" s="16">
        <f>IF(OR(Receivables[[#This Row],[Calculated_Balance]]&lt;=0,Receivables[[#This Row],[Due_Date]]="",Receivables[[#This Row],[Control_Date]]=""),0,MAX(0,Receivables[[#This Row],[Control_Date]]-Receivables[[#This Row],[Due_Date]]))</f>
      </c>
      <c r="X2" s="11">
        <f>IF(Receivables[[#This Row],[Calculated_Balance]]&lt;=0,"CURRENT",IF(Receivables[[#This Row],[Aging_Days]]=0,"CURRENT",IF(Receivables[[#This Row],[Aging_Days]]&lt;=30,"1-30",IF(Receivables[[#This Row],[Aging_Days]]&lt;=60,"31-60",IF(Receivables[[#This Row],[Aging_Days]]&lt;=90,"61-90","91+")))))</f>
      </c>
      <c r="Y2" s="11">
        <f>IF(OR(Receivables[[#This Row],[Control_Date]]="",Receivables[[#This Row],[Calculated_Balance]]="",Receivables[[#This Row],[Ledger_Balance]]="",ABS(Receivables[[#This Row],[Balance_Variance]])&gt;0.009),"HOLD",IF(Receivables[[#This Row],[Calculated_Balance]]&lt;=0,"CLOSED",IF(OR(NOT(OR(Receivables[[#This Row],[Contact_Eligibility]]="ELIGIBLE",Receivables[[#This Row],[Contact_Eligibility]]="PREFERENCE_LIMITED")),Receivables[[#This Row],[Invoice_Status]]="PAID",Receivables[[#This Row],[Invoice_Status]]="CREDITED",Receivables[[#This Row],[Invoice_Status]]="VOID",AND(Receivables[[#This Row],[Dispute_Status]]&lt;&gt;"NONE",Receivables[[#This Row],[Dispute_Status]]&lt;&gt;"RESOLVED")),"HOLD",IF(Receivables[[#This Row],[Next_Action_Date]]="","DUE",IF(Receivables[[#This Row],[Next_Action_Date]]&lt;Receivables[[#This Row],[Control_Date]],"OVERDUE",IF(Receivables[[#This Row],[Next_Action_Date]]=Receivables[[#This Row],[Control_Date]],"DUE","NOT_DUE"))))))</f>
      </c>
      <c r="Z2" s="11">
        <f>IF(OR(Receivables[[#This Row],[Invoice_ID]]="",Receivables[[#This Row],[Project_ID]]="",Receivables[[#This Row],[Customer_Record_Ref]]="",Receivables[[#This Row],[Issue_Date]]="",Receivables[[#This Row],[Due_Date]]="",Receivables[[#This Row],[Control_Date]]="",Receivables[[#This Row],[Issue_Date]]&gt;Receivables[[#This Row],[Control_Date]],Receivables[[#This Row],[Original_Amount]]="",Receivables[[#This Row],[Original_Amount]]&lt;0,Receivables[[#This Row],[Credits_Applied]]="",Receivables[[#This Row],[Credits_Applied]]&lt;0,Receivables[[#This Row],[Payments_Applied]]="",Receivables[[#This Row],[Payments_Applied]]&lt;0,Receivables[[#This Row],[Calculated_Balance]]="",Receivables[[#This Row],[Ledger_Balance]]="",Receivables[[#This Row],[Ledger_Balance]]&lt;0,Receivables[[#This Row],[Invoice_Status]]="",Receivables[[#This Row],[Contact_Eligibility]]="",Receivables[[#This Row],[Dispute_Status]]="",Receivables[[#This Row],[Promise_Status]]="",Receivables[[#This Row],[Owner]]="",Receivables[[#This Row],[Invoice_Evidence_Ref]]="",Receivables[[#This Row],[Latest_Event_Evidence_Ref]]="",ABS(Receivables[[#This Row],[Balance_Variance]])&gt;0.009,AND(Receivables[[#This Row],[Calculated_Balance]]&gt;0,OR(Receivables[[#This Row],[Invoice_Status]]="PAID",Receivables[[#This Row],[Invoice_Status]]="CREDITED",Receivables[[#This Row],[Invoice_Status]]="VOID")),AND(Receivables[[#This Row],[Calculated_Balance]]&lt;=0,NOT(OR(Receivables[[#This Row],[Invoice_Status]]="PAID",Receivables[[#This Row],[Invoice_Status]]="CREDITED",Receivables[[#This Row],[Invoice_Status]]="VOID",Receivables[[#This Row],[Invoice_Status]]="WRITE_OFF_REVIEW"))),AND(Receivables[[#This Row],[Invoice_Status]]="DISPUTED",Receivables[[#This Row],[Dispute_Status]]="NONE"),AND(Receivables[[#This Row],[Promise_Status]]="OPEN",OR(Receivables[[#This Row],[Promise_Amount]]="",Receivables[[#This Row],[Promise_Amount]]&lt;0,Receivables[[#This Row],[Promise_Date]]="")),AND(Receivables[[#This Row],[Promise_Status]]="NONE",OR(Receivables[[#This Row],[Promise_Amount]]&lt;&gt;"",Receivables[[#This Row],[Promise_Date]]&lt;&gt;"")),AND(Receivables[[#This Row],[Calculated_Balance]]&gt;0,OR(Receivables[[#This Row],[Next_Action_Type]]="",Receivables[[#This Row],[Next_Action_Type]]="NONE",Receivables[[#This Row],[Next_Action_Date]]=""))),"REVIEW","COMPLETE")</f>
      </c>
      <c r="AA2" s="4"/>
      <c r="AB2" s="4"/>
      <c r="AC2" s="4"/>
    </row>
  </sheetData>
  <sheetProtection sheet="1" objects="1" scenarios="1" formatCells="1" formatColumns="1" formatRows="1" insertColumns="1" insertRows="0" insertHyperlinks="1" deleteColumns="1" deleteRows="1" selectLockedCells="1" sort="0" autoFilter="0" pivotTables="1" selectUnlockedCells="0"/>
  <dataValidations count="23">
    <dataValidation type="custom" allowBlank="0" showInputMessage="1" showErrorMessage="1" errorStyle="stop" sqref="A2:A1048576" errorTitle="Unsafe text value" error="Enter text that does not begin with =, +, -, or @." promptTitle="Verified text" prompt="Paste values only; formula-leading text is rejected.">
      <formula1>AND(LEN(TRIM(A2))&gt;0,NOT(OR(LEFT(A2,1)="=",LEFT(A2,1)="+",LEFT(A2,1)="-",LEFT(A2,1)="@")))</formula1>
    </dataValidation>
    <dataValidation type="custom" allowBlank="0" showInputMessage="1" showErrorMessage="1" errorStyle="stop" sqref="B2:B1048576" errorTitle="Unsafe text value" error="Enter text that does not begin with =, +, -, or @." promptTitle="Verified text" prompt="Paste values only; formula-leading text is rejected.">
      <formula1>AND(LEN(TRIM(B2))&gt;0,NOT(OR(LEFT(B2,1)="=",LEFT(B2,1)="+",LEFT(B2,1)="-",LEFT(B2,1)="@")))</formula1>
    </dataValidation>
    <dataValidation type="custom" allowBlank="0" showInputMessage="1" showErrorMessage="1" errorStyle="stop" sqref="C2:C1048576" errorTitle="Unsafe text value" error="Enter text that does not begin with =, +, -, or @." promptTitle="Verified text" prompt="Paste values only; formula-leading text is rejected.">
      <formula1>AND(LEN(TRIM(C2))&gt;0,NOT(OR(LEFT(C2,1)="=",LEFT(C2,1)="+",LEFT(C2,1)="-",LEFT(C2,1)="@")))</formula1>
    </dataValidation>
    <dataValidation type="date" operator="between" allowBlank="0" showInputMessage="1" showErrorMessage="1" errorStyle="stop" sqref="D2:D1048576" errorTitle="Invalid date" error="Enter a valid Excel date." promptTitle="Date" prompt="Enter a verified date.">
      <formula1>1</formula1>
      <formula2>2958465</formula2>
    </dataValidation>
    <dataValidation type="date" operator="between" allowBlank="0" showInputMessage="1" showErrorMessage="1" errorStyle="stop" sqref="E2:E1048576" errorTitle="Invalid date" error="Enter a valid Excel date." promptTitle="Date" prompt="Enter a verified date.">
      <formula1>1</formula1>
      <formula2>2958465</formula2>
    </dataValidation>
    <dataValidation type="date" operator="between" allowBlank="0" showInputMessage="1" showErrorMessage="1" errorStyle="stop" sqref="F2:F1048576" errorTitle="Invalid date" error="Enter a valid Excel date." promptTitle="Date" prompt="Enter a verified date.">
      <formula1>1</formula1>
      <formula2>2958465</formula2>
    </dataValidation>
    <dataValidation type="decimal" operator="between" allowBlank="0" showInputMessage="1" showErrorMessage="1" errorStyle="stop" sqref="G2:G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H2:H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I2:I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K2:K1048576" errorTitle="Invalid number" error="Enter a numeric value." promptTitle="Number" prompt="Enter a verified numeric value.">
      <formula1>-1E+307</formula1>
      <formula2>1E+307</formula2>
    </dataValidation>
    <dataValidation type="list" allowBlank="0" showInputMessage="1" showErrorMessage="1" errorStyle="stop" sqref="M2:M1048576" errorTitle="Invalid value" error="Choose a value from the controlled list." promptTitle="Controlled field" prompt="Choose a listed value; do not invent a new status.">
      <formula1>_dv_13</formula1>
    </dataValidation>
    <dataValidation type="list" allowBlank="0" showInputMessage="1" showErrorMessage="1" errorStyle="stop" sqref="N2:N1048576" errorTitle="Invalid value" error="Choose a value from the controlled list." promptTitle="Controlled field" prompt="Choose a listed value; do not invent a new status.">
      <formula1>_dv_14</formula1>
    </dataValidation>
    <dataValidation type="list" allowBlank="0" showInputMessage="1" showErrorMessage="1" errorStyle="stop" sqref="O2:O1048576" errorTitle="Invalid value" error="Choose a value from the controlled list." promptTitle="Controlled field" prompt="Choose a listed value; do not invent a new status.">
      <formula1>_dv_15</formula1>
    </dataValidation>
    <dataValidation type="decimal" operator="between" allowBlank="1" showInputMessage="1" showErrorMessage="1" errorStyle="stop" sqref="P2:P1048576" errorTitle="Invalid number" error="Enter a numeric value." promptTitle="Number" prompt="Enter a verified numeric value.">
      <formula1>-1E+307</formula1>
      <formula2>1E+307</formula2>
    </dataValidation>
    <dataValidation type="date" operator="between" allowBlank="1" showInputMessage="1" showErrorMessage="1" errorStyle="stop" sqref="Q2:Q1048576" errorTitle="Invalid date" error="Enter a valid Excel date." promptTitle="Date" prompt="Enter a verified date.">
      <formula1>1</formula1>
      <formula2>2958465</formula2>
    </dataValidation>
    <dataValidation type="list" allowBlank="0" showInputMessage="1" showErrorMessage="1" errorStyle="stop" sqref="R2:R1048576" errorTitle="Invalid value" error="Choose a value from the controlled list." promptTitle="Controlled field" prompt="Choose a listed value; do not invent a new status.">
      <formula1>_dv_18</formula1>
    </dataValidation>
    <dataValidation type="date" operator="between" allowBlank="1" showInputMessage="1" showErrorMessage="1" errorStyle="stop" sqref="S2:S1048576" errorTitle="Invalid date" error="Enter a valid Excel date." promptTitle="Date" prompt="Enter a verified date.">
      <formula1>1</formula1>
      <formula2>2958465</formula2>
    </dataValidation>
    <dataValidation type="list" allowBlank="1" showInputMessage="1" showErrorMessage="1" errorStyle="stop" sqref="T2:T1048576" errorTitle="Invalid value" error="Choose a value from the controlled list." promptTitle="Controlled field" prompt="Choose a listed value; do not invent a new status.">
      <formula1>_dv_20</formula1>
    </dataValidation>
    <dataValidation type="date" operator="between" allowBlank="1" showInputMessage="1" showErrorMessage="1" errorStyle="stop" sqref="U2:U1048576" errorTitle="Invalid date" error="Enter a valid Excel date." promptTitle="Date" prompt="Enter a verified date.">
      <formula1>1</formula1>
      <formula2>2958465</formula2>
    </dataValidation>
    <dataValidation type="custom" allowBlank="1" showInputMessage="1" showErrorMessage="1" errorStyle="stop" sqref="V2:V1048576" errorTitle="Unsafe text value" error="Enter text that does not begin with =, +, -, or @." promptTitle="Verified text" prompt="Paste values only; formula-leading text is rejected.">
      <formula1>OR(V2="",AND(LEN(TRIM(V2))&gt;0,NOT(OR(LEFT(V2,1)="=",LEFT(V2,1)="+",LEFT(V2,1)="-",LEFT(V2,1)="@"))))</formula1>
    </dataValidation>
    <dataValidation type="custom" allowBlank="0" showInputMessage="1" showErrorMessage="1" errorStyle="stop" sqref="AA2:AA1048576" errorTitle="Unsafe text value" error="Enter text that does not begin with =, +, -, or @." promptTitle="Verified text" prompt="Paste values only; formula-leading text is rejected.">
      <formula1>AND(LEN(TRIM(AA2))&gt;0,NOT(OR(LEFT(AA2,1)="=",LEFT(AA2,1)="+",LEFT(AA2,1)="-",LEFT(AA2,1)="@")))</formula1>
    </dataValidation>
    <dataValidation type="custom" allowBlank="1" showInputMessage="1" showErrorMessage="1" errorStyle="stop" sqref="AB2:AB1048576" errorTitle="Unsafe text value" error="Enter text that does not begin with =, +, -, or @." promptTitle="Verified text" prompt="Paste values only; formula-leading text is rejected.">
      <formula1>OR(AB2="",AND(LEN(TRIM(AB2))&gt;0,NOT(OR(LEFT(AB2,1)="=",LEFT(AB2,1)="+",LEFT(AB2,1)="-",LEFT(AB2,1)="@"))))</formula1>
    </dataValidation>
    <dataValidation type="custom" allowBlank="1" showInputMessage="1" showErrorMessage="1" errorStyle="stop" sqref="AC2:AC1048576" errorTitle="Unsafe text value" error="Enter text that does not begin with =, +, -, or @." promptTitle="Verified text" prompt="Paste values only; formula-leading text is rejected.">
      <formula1>OR(AC2="",AND(LEN(TRIM(AC2))&gt;0,NOT(OR(LEFT(AC2,1)="=",LEFT(AC2,1)="+",LEFT(AC2,1)="-",LEFT(AC2,1)="@"))))</formula1>
    </dataValidation>
  </dataValidations>
  <pageMargins left="0.25" right="0.25" top="0.5" bottom="0.5" header="0.2" footer="0.2"/>
  <tableParts count="1">
    <tablePart r:id="rId1"/>
  </tableParts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"/>
  <sheetData>
    <row r="1">
      <c r="A1" t="inlineStr">
        <is>
          <t>ISSUED</t>
        </is>
      </c>
      <c r="B1" t="inlineStr">
        <is>
          <t>ELIGIBLE</t>
        </is>
      </c>
      <c r="C1" t="inlineStr">
        <is>
          <t>NONE</t>
        </is>
      </c>
      <c r="D1" t="inlineStr">
        <is>
          <t>NONE</t>
        </is>
      </c>
      <c r="E1" t="inlineStr">
        <is>
          <t>VERIFY_RECORD</t>
        </is>
      </c>
    </row>
    <row r="2">
      <c r="A2" t="inlineStr">
        <is>
          <t>PARTIALLY_PAID</t>
        </is>
      </c>
      <c r="B2" t="inlineStr">
        <is>
          <t>PREFERENCE_LIMITED</t>
        </is>
      </c>
      <c r="C2" t="inlineStr">
        <is>
          <t>CUSTOMER_QUESTION</t>
        </is>
      </c>
      <c r="D2" t="inlineStr">
        <is>
          <t>OPEN</t>
        </is>
      </c>
      <c r="E2" t="inlineStr">
        <is>
          <t>SEND_INVOICE_COPY</t>
        </is>
      </c>
    </row>
    <row r="3">
      <c r="A3" t="inlineStr">
        <is>
          <t>PAID</t>
        </is>
      </c>
      <c r="B3" t="inlineStr">
        <is>
          <t>OPTED_OUT</t>
        </is>
      </c>
      <c r="C3" t="inlineStr">
        <is>
          <t>INTERNAL_REVIEW</t>
        </is>
      </c>
      <c r="D3" t="inlineStr">
        <is>
          <t>KEPT</t>
        </is>
      </c>
      <c r="E3" t="inlineStr">
        <is>
          <t>COURTESY_REMINDER</t>
        </is>
      </c>
    </row>
    <row r="4">
      <c r="A4" t="inlineStr">
        <is>
          <t>DISPUTED</t>
        </is>
      </c>
      <c r="B4" t="inlineStr">
        <is>
          <t>WRONG_CONTACT</t>
        </is>
      </c>
      <c r="C4" t="inlineStr">
        <is>
          <t>RESPONSE_DUE</t>
        </is>
      </c>
      <c r="D4" t="inlineStr">
        <is>
          <t>MISSED</t>
        </is>
      </c>
      <c r="E4" t="inlineStr">
        <is>
          <t>PAST_DUE_FOLLOW_UP</t>
        </is>
      </c>
    </row>
    <row r="5">
      <c r="A5" t="inlineStr">
        <is>
          <t>CREDITED</t>
        </is>
      </c>
      <c r="B5" t="inlineStr">
        <is>
          <t>LEGAL_HOLD</t>
        </is>
      </c>
      <c r="C5" t="inlineStr">
        <is>
          <t>RESOLVED</t>
        </is>
      </c>
      <c r="D5" t="inlineStr">
        <is>
          <t>REPLACED</t>
        </is>
      </c>
      <c r="E5" t="inlineStr">
        <is>
          <t>PROMISE_CHECK</t>
        </is>
      </c>
    </row>
    <row r="6">
      <c r="A6" t="inlineStr">
        <is>
          <t>VOID</t>
        </is>
      </c>
      <c r="B6" t="inlineStr">
        <is>
          <t>UNKNOWN</t>
        </is>
      </c>
      <c r="C6" t="inlineStr">
        <is>
          <t>ESCALATED</t>
        </is>
      </c>
      <c r="D6" t="inlineStr">
        <is>
          <t>WITHDRAWN</t>
        </is>
      </c>
      <c r="E6" t="inlineStr">
        <is>
          <t>DISPUTE_RESPONSE</t>
        </is>
      </c>
    </row>
    <row r="7">
      <c r="A7" t="inlineStr">
        <is>
          <t>WRITE_OFF_REVIEW</t>
        </is>
      </c>
      <c r="E7" t="inlineStr">
        <is>
          <t>OWNER_REVIEW</t>
        </is>
      </c>
    </row>
    <row r="8">
      <c r="E8" t="inlineStr">
        <is>
          <t>NONE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ENTRAL Phase 204 deterministic XLSX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Receivables</vt:lpstr>
      <vt:lpstr>_Lists</vt:lpstr>
    </vt:vector>
  </TitlesOfParts>
  <Company>Sovereign Protocol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Billing and Collections Accelerator</dc:title>
  <dc:creator>Sovereign Protocol</dc:creator>
  <cp:lastModifiedBy>Sovereign Protocol</cp:lastModifiedBy>
  <dcterms:created xsi:type="dcterms:W3CDTF">2000-01-01T00:00:00Z</dcterms:created>
  <dcterms:modified xsi:type="dcterms:W3CDTF">2000-01-01T00:00:00Z</dcterms:modified>
</cp:coreProperties>
</file>