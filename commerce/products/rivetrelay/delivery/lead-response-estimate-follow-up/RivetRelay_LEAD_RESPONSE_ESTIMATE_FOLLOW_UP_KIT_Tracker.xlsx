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30228"/>
  <bookViews>
    <workbookView activeTab="1" firstSheet="0"/>
  </bookViews>
  <sheets>
    <sheet name="Instructions" sheetId="1" r:id="rId1"/>
    <sheet name="Lead Tracker" sheetId="2" r:id="rId2"/>
    <sheet name="_Lists" sheetId="3" state="veryHidden" r:id="rId3"/>
  </sheets>
  <definedNames>
    <definedName name="_dv_7" hidden="1">'_Lists'!$A$1:$A$5</definedName>
    <definedName name="_dv_8" hidden="1">'_Lists'!$B$1:$B$5</definedName>
    <definedName name="_dv_9" hidden="1">'_Lists'!$C$1:$C$3</definedName>
    <definedName name="_dv_10" hidden="1">'_Lists'!$D$1:$D$8</definedName>
    <definedName name="_dv_13" hidden="1">'_Lists'!$E$1:$E$4</definedName>
    <definedName name="_dv_21" hidden="1">'_Lists'!$F$1:$F$6</definedName>
    <definedName name="_dv_22" hidden="1">'_Lists'!$G$1:$G$5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 hh:mm"/>
    <numFmt numFmtId="166" formatCode="&quot;$&quot;#,##0.00;[Red]-&quot;$&quot;#,##0.00"/>
    <numFmt numFmtId="167" formatCode="0.00%"/>
    <numFmt numFmtId="168" formatCode="0"/>
    <numFmt numFmtId="169" formatCode="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4597A"/>
        <bgColor indexed="64"/>
      </patternFill>
    </fill>
    <fill>
      <patternFill patternType="solid">
        <fgColor rgb="FF3A7596"/>
        <bgColor indexed="64"/>
      </patternFill>
    </fill>
  </fills>
  <borders count="2">
    <border>
      <left/>
      <right/>
      <top/>
      <bottom/>
      <diagonal/>
    </border>
    <border>
      <left style="thin">
        <color rgb="FFD6E0E8"/>
      </left>
      <right style="thin">
        <color rgb="FFD6E0E8"/>
      </right>
      <top style="thin">
        <color rgb="FFD6E0E8"/>
      </top>
      <bottom style="thin">
        <color rgb="FFD6E0E8"/>
      </bottom>
      <diagonal/>
    </border>
  </borders>
  <cellStyleXfs count="1">
    <xf numFmtId="0" fontId="0" fillId="0" borderId="0"/>
  </cellStyleXfs>
  <cellXfs count="19">
    <xf numFmtId="0" fontId="0" fillId="0" borderId="0" xfId="0" applyNumberFormat="1" applyFont="1" applyFill="1" applyBorder="1" applyProtection="1">
      <protection locked="1"/>
    </xf>
    <xf numFmtId="0" fontId="2" fillId="2" borderId="0" xfId="0" applyNumberFormat="1" applyFont="1" applyFill="1" applyBorder="1" applyProtection="1" applyAlignment="1">
      <alignment vertical="center"/>
      <protection locked="1"/>
    </xf>
    <xf numFmtId="0" fontId="0" fillId="0" borderId="0" xfId="0" applyNumberFormat="1" applyFont="1" applyFill="1" applyBorder="1" applyProtection="1" applyAlignment="1">
      <alignment vertical="top" wrapText="1"/>
      <protection locked="1"/>
    </xf>
    <xf numFmtId="0" fontId="1" fillId="3" borderId="1" xfId="0" applyNumberFormat="1" applyFont="1" applyFill="1" applyBorder="1" applyProtection="1" applyAlignment="1">
      <alignment horizontal="center" vertical="center" wrapText="1"/>
      <protection locked="1"/>
    </xf>
    <xf numFmtId="0" fontId="0" fillId="0" borderId="1" xfId="0" applyNumberFormat="1" applyFont="1" applyFill="1" applyBorder="1" applyProtection="1">
      <protection locked="0"/>
    </xf>
    <xf numFmtId="164" fontId="0" fillId="0" borderId="1" xfId="0" applyNumberFormat="1" applyFont="1" applyFill="1" applyBorder="1" applyProtection="1">
      <protection locked="0"/>
    </xf>
    <xf numFmtId="165" fontId="0" fillId="0" borderId="1" xfId="0" applyNumberFormat="1" applyFont="1" applyFill="1" applyBorder="1" applyProtection="1">
      <protection locked="0"/>
    </xf>
    <xf numFmtId="166" fontId="0" fillId="0" borderId="1" xfId="0" applyNumberFormat="1" applyFont="1" applyFill="1" applyBorder="1" applyProtection="1">
      <protection locked="0"/>
    </xf>
    <xf numFmtId="167" fontId="0" fillId="0" borderId="1" xfId="0" applyNumberFormat="1" applyFont="1" applyFill="1" applyBorder="1" applyProtection="1">
      <protection locked="0"/>
    </xf>
    <xf numFmtId="168" fontId="0" fillId="0" borderId="1" xfId="0" applyNumberFormat="1" applyFont="1" applyFill="1" applyBorder="1" applyProtection="1">
      <protection locked="0"/>
    </xf>
    <xf numFmtId="169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Protection="1">
      <protection locked="1"/>
    </xf>
    <xf numFmtId="164" fontId="0" fillId="0" borderId="1" xfId="0" applyNumberFormat="1" applyFont="1" applyFill="1" applyBorder="1" applyProtection="1">
      <protection locked="1"/>
    </xf>
    <xf numFmtId="165" fontId="0" fillId="0" borderId="1" xfId="0" applyNumberFormat="1" applyFont="1" applyFill="1" applyBorder="1" applyProtection="1">
      <protection locked="1"/>
    </xf>
    <xf numFmtId="166" fontId="0" fillId="0" borderId="1" xfId="0" applyNumberFormat="1" applyFont="1" applyFill="1" applyBorder="1" applyProtection="1">
      <protection locked="1"/>
    </xf>
    <xf numFmtId="167" fontId="0" fillId="0" borderId="1" xfId="0" applyNumberFormat="1" applyFont="1" applyFill="1" applyBorder="1" applyProtection="1">
      <protection locked="1"/>
    </xf>
    <xf numFmtId="168" fontId="0" fillId="0" borderId="1" xfId="0" applyNumberFormat="1" applyFont="1" applyFill="1" applyBorder="1" applyProtection="1">
      <protection locked="1"/>
    </xf>
    <xf numFmtId="169" fontId="0" fillId="0" borderId="1" xfId="0" applyNumberFormat="1" applyFont="1" applyFill="1" applyBorder="1" applyProtection="1">
      <protection locked="1"/>
    </xf>
    <xf numFmtId="0" fontId="1" fillId="4" borderId="1" xfId="0" applyNumberFormat="1" applyFont="1" applyFill="1" applyBorder="1" applyProtection="1" applyAlignment="1">
      <alignment vertical="center" wrapText="1"/>
      <protection locked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Leads" displayName="Leads" ref="A1:AA2" headerRowCount="1" totalsRowShown="0">
  <autoFilter ref="A1:AA2"/>
  <tableColumns count="27">
    <tableColumn id="1" name="Lead_ID"/>
    <tableColumn id="2" name="Received_Date"/>
    <tableColumn id="3" name="Control_Date"/>
    <tableColumn id="4" name="Customer_Record_Ref"/>
    <tableColumn id="5" name="Project_Type"/>
    <tableColumn id="6" name="Lead_Source"/>
    <tableColumn id="7" name="Preferred_Channel"/>
    <tableColumn id="8" name="Contact_Eligibility"/>
    <tableColumn id="9" name="Priority"/>
    <tableColumn id="10" name="Stage"/>
    <tableColumn id="11" name="Assigned_To"/>
    <tableColumn id="12" name="Last_Contact_Date"/>
    <tableColumn id="13" name="Last_Contact_Channel"/>
    <tableColumn id="14" name="Next_Action"/>
    <tableColumn id="15" name="Next_Action_Date"/>
    <tableColumn id="16" name="Estimate_Ref"/>
    <tableColumn id="17" name="Estimate_Delivered_Date"/>
    <tableColumn id="18" name="Estimate_Amount"/>
    <tableColumn id="19" name="Follow_Up_Count"/>
    <tableColumn id="20" name="Days_Since_Estimate">
      <calculatedColumnFormula>IF(OR(Leads[[#This Row],[Estimate_Delivered_Date]]="",Leads[[#This Row],[Control_Date]]=""),"",MAX(0,Leads[[#This Row],[Control_Date]]-Leads[[#This Row],[Estimate_Delivered_Date]]))</calculatedColumnFormula>
    </tableColumn>
    <tableColumn id="21" name="Response_Status"/>
    <tableColumn id="22" name="Outcome"/>
    <tableColumn id="23" name="Outcome_Date"/>
    <tableColumn id="24" name="Evidence_Ref"/>
    <tableColumn id="25" name="Notes"/>
    <tableColumn id="26" name="Follow_Up_Flag">
      <calculatedColumnFormula>IF(Leads[[#This Row],[Stage]]="CLOSED","CLOSED",IF(OR(Leads[[#This Row],[Control_Date]]="",NOT(OR(Leads[[#This Row],[Contact_Eligibility]]="ELIGIBLE",Leads[[#This Row],[Contact_Eligibility]]="PREFERENCE_LIMITED"))),"HOLD",IF(Leads[[#This Row],[Next_Action_Date]]="","DUE",IF(Leads[[#This Row],[Next_Action_Date]]&lt;Leads[[#This Row],[Control_Date]],"OVERDUE",IF(Leads[[#This Row],[Next_Action_Date]]=Leads[[#This Row],[Control_Date]],"DUE","NOT_DUE")))))</calculatedColumnFormula>
    </tableColumn>
    <tableColumn id="27" name="Record_Quality_Flag">
      <calculatedColumnFormula>IF(OR(Leads[[#This Row],[Lead_ID]]="",Leads[[#This Row],[Received_Date]]="",Leads[[#This Row],[Control_Date]]="",Leads[[#This Row],[Received_Date]]&gt;Leads[[#This Row],[Control_Date]],Leads[[#This Row],[Customer_Record_Ref]]="",Leads[[#This Row],[Project_Type]]="",Leads[[#This Row],[Lead_Source]]="",Leads[[#This Row],[Contact_Eligibility]]="",Leads[[#This Row],[Priority]]="",Leads[[#This Row],[Stage]]="",Leads[[#This Row],[Follow_Up_Count]]="",Leads[[#This Row],[Follow_Up_Count]]&lt;0,Leads[[#This Row],[Response_Status]]="",Leads[[#This Row],[Evidence_Ref]]="",AND(Leads[[#This Row],[Last_Contact_Date]]&lt;&gt;"",Leads[[#This Row],[Last_Contact_Date]]&gt;Leads[[#This Row],[Control_Date]]),AND(Leads[[#This Row],[Follow_Up_Count]]&gt;0,OR(Leads[[#This Row],[Last_Contact_Date]]="",Leads[[#This Row],[Last_Contact_Channel]]="")),AND(Leads[[#This Row],[Stage]]&lt;&gt;"CLOSED",OR(Leads[[#This Row],[Assigned_To]]="",Leads[[#This Row],[Next_Action]]="",Leads[[#This Row],[Next_Action_Date]]="")),AND(OR(Leads[[#This Row],[Stage]]="ESTIMATE_DELIVERED",Leads[[#This Row],[Stage]]="DECISION_PENDING"),OR(Leads[[#This Row],[Estimate_Ref]]="",Leads[[#This Row],[Estimate_Delivered_Date]]="",Leads[[#This Row],[Estimate_Delivered_Date]]&gt;Leads[[#This Row],[Control_Date]])),AND(Leads[[#This Row],[Stage]]="CLOSED",OR(Leads[[#This Row],[Outcome]]="",Leads[[#This Row],[Outcome_Date]]="",Leads[[#This Row],[Outcome_Date]]&gt;Leads[[#This Row],[Control_Date]]))),"REVIEW","COMPLETE")</calculatedColumnFormula>
    </tableColumn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D38"/>
  <sheetViews>
    <sheetView workbookViewId="0"/>
  </sheetViews>
  <sheetFormatPr defaultRowHeight="15"/>
  <cols>
    <col min="1" max="1" width="34" customWidth="1"/>
    <col min="2" max="2" width="22" customWidth="1"/>
    <col min="3" max="3" width="16" customWidth="1"/>
    <col min="4" max="4" width="90" customWidth="1"/>
  </cols>
  <sheetData>
    <row r="1" ht="30" customHeight="1">
      <c r="A1" s="1" t="inlineStr">
        <is>
          <t>Lead Response and Estimate Follow-Up Kit</t>
        </is>
      </c>
    </row>
    <row r="2">
      <c r="A2" s="2" t="inlineStr">
        <is>
          <t>Use verified source values only. Input cells are unlocked; formula cells are locked and fill through the Excel table.</t>
        </is>
      </c>
    </row>
    <row r="4">
      <c r="A4" s="18" t="inlineStr">
        <is>
          <t>Operating instructions</t>
        </is>
      </c>
    </row>
    <row r="5">
      <c r="A5" s="2" t="inlineStr">
        <is>
          <t>• Delete the blank starter row only after adding the first verified operating row.</t>
        </is>
      </c>
    </row>
    <row r="6">
      <c r="A6" s="2" t="inlineStr">
        <is>
          <t>• Set every explicit control or as-of date from evidence; the workbook never substitutes the device date.</t>
        </is>
      </c>
    </row>
    <row r="7">
      <c r="A7" s="2" t="inlineStr">
        <is>
          <t>• Paste values only. Text beginning with =, +, -, or @ is rejected to prevent spreadsheet formula injection.</t>
        </is>
      </c>
    </row>
    <row r="8">
      <c r="A8" s="2" t="inlineStr">
        <is>
          <t>• Keep calculated columns protected and reconcile source records before relying on a queue or result.</t>
        </is>
      </c>
    </row>
    <row r="9">
      <c r="A9" s="2" t="inlineStr">
        <is>
          <t>• The editable-source archive includes the import CSV, fictional CSV, exact formulas, and governance instructions.</t>
        </is>
      </c>
    </row>
    <row r="11">
      <c r="A11" s="18" t="inlineStr">
        <is>
          <t>Column</t>
        </is>
      </c>
      <c r="B11" s="18" t="inlineStr">
        <is>
          <t>Required</t>
        </is>
      </c>
      <c r="C11" s="18" t="inlineStr">
        <is>
          <t>Type</t>
        </is>
      </c>
      <c r="D11" s="18" t="inlineStr">
        <is>
          <t>Allowed values / guidance</t>
        </is>
      </c>
    </row>
    <row r="12">
      <c r="A12" s="2" t="inlineStr">
        <is>
          <t>Lead_ID</t>
        </is>
      </c>
      <c r="B12" s="2" t="inlineStr">
        <is>
          <t>Yes</t>
        </is>
      </c>
      <c r="C12" s="2" t="inlineStr">
        <is>
          <t>text</t>
        </is>
      </c>
      <c r="D12" s="2" t="inlineStr">
        <is>
          <t>Always. Unique stable internal ID; do not use contact data Prevents duplicate and unstable records</t>
        </is>
      </c>
    </row>
    <row r="13">
      <c r="A13" s="2" t="inlineStr">
        <is>
          <t>Received_Date</t>
        </is>
      </c>
      <c r="B13" s="2" t="inlineStr">
        <is>
          <t>Yes</t>
        </is>
      </c>
      <c r="C13" s="2" t="inlineStr">
        <is>
          <t>date</t>
        </is>
      </c>
      <c r="D13" s="2" t="inlineStr">
        <is>
          <t>Always. Actual received date; hold the record outside this tracker if the date is unavailable Orders the incoming queue without mixing dates and reasons</t>
        </is>
      </c>
    </row>
    <row r="14">
      <c r="A14" s="2" t="inlineStr">
        <is>
          <t>Control_Date</t>
        </is>
      </c>
      <c r="B14" s="2" t="inlineStr">
        <is>
          <t>Yes</t>
        </is>
      </c>
      <c r="C14" s="2" t="inlineStr">
        <is>
          <t>date</t>
        </is>
      </c>
      <c r="D14" s="2" t="inlineStr">
        <is>
          <t>Always. Verified local operating date used by every age and due calculation Makes formula readback stable and auditable</t>
        </is>
      </c>
    </row>
    <row r="15">
      <c r="A15" s="2" t="inlineStr">
        <is>
          <t>Customer_Record_Ref</t>
        </is>
      </c>
      <c r="B15" s="2" t="inlineStr">
        <is>
          <t>Yes</t>
        </is>
      </c>
      <c r="C15" s="2" t="inlineStr">
        <is>
          <t>text</t>
        </is>
      </c>
      <c r="D15" s="2" t="inlineStr">
        <is>
          <t>Always. Secure system reference rather than direct personal data Links to approved customer record</t>
        </is>
      </c>
    </row>
    <row r="16">
      <c r="A16" s="2" t="inlineStr">
        <is>
          <t>Project_Type</t>
        </is>
      </c>
      <c r="B16" s="2" t="inlineStr">
        <is>
          <t>Yes</t>
        </is>
      </c>
      <c r="C16" s="2" t="inlineStr">
        <is>
          <t>text</t>
        </is>
      </c>
      <c r="D16" s="2" t="inlineStr">
        <is>
          <t>Always. Verified short description Supports routing</t>
        </is>
      </c>
    </row>
    <row r="17">
      <c r="A17" s="2" t="inlineStr">
        <is>
          <t>Lead_Source</t>
        </is>
      </c>
      <c r="B17" s="2" t="inlineStr">
        <is>
          <t>Yes</t>
        </is>
      </c>
      <c r="C17" s="2" t="inlineStr">
        <is>
          <t>text</t>
        </is>
      </c>
      <c r="D17" s="2" t="inlineStr">
        <is>
          <t>Always. Local verified source list Supports source comparison</t>
        </is>
      </c>
    </row>
    <row r="18">
      <c r="A18" s="2" t="inlineStr">
        <is>
          <t>Preferred_Channel</t>
        </is>
      </c>
      <c r="B18" s="2" t="inlineStr">
        <is>
          <t>Conditional or optional</t>
        </is>
      </c>
      <c r="C18" s="2" t="inlineStr">
        <is>
          <t>text</t>
        </is>
      </c>
      <c r="D18" s="2" t="inlineStr">
        <is>
          <t>EMAIL; PHONE; MARKETPLACE; OTHER; UNKNOWN</t>
        </is>
      </c>
    </row>
    <row r="19">
      <c r="A19" s="2" t="inlineStr">
        <is>
          <t>Contact_Eligibility</t>
        </is>
      </c>
      <c r="B19" s="2" t="inlineStr">
        <is>
          <t>Yes</t>
        </is>
      </c>
      <c r="C19" s="2" t="inlineStr">
        <is>
          <t>text</t>
        </is>
      </c>
      <c r="D19" s="2" t="inlineStr">
        <is>
          <t>ELIGIBLE; PREFERENCE_LIMITED; OPTED_OUT; WRONG_CONTACT; UNKNOWN</t>
        </is>
      </c>
    </row>
    <row r="20">
      <c r="A20" s="2" t="inlineStr">
        <is>
          <t>Priority</t>
        </is>
      </c>
      <c r="B20" s="2" t="inlineStr">
        <is>
          <t>Yes</t>
        </is>
      </c>
      <c r="C20" s="2" t="inlineStr">
        <is>
          <t>text</t>
        </is>
      </c>
      <c r="D20" s="2" t="inlineStr">
        <is>
          <t>HIGH; MEDIUM; LOW</t>
        </is>
      </c>
    </row>
    <row r="21">
      <c r="A21" s="2" t="inlineStr">
        <is>
          <t>Stage</t>
        </is>
      </c>
      <c r="B21" s="2" t="inlineStr">
        <is>
          <t>Yes</t>
        </is>
      </c>
      <c r="C21" s="2" t="inlineStr">
        <is>
          <t>text</t>
        </is>
      </c>
      <c r="D21" s="2" t="inlineStr">
        <is>
          <t>NEW; CONTACTED; QUALIFYING; SITE_VISIT; ESTIMATE_IN_PROGRESS; ESTIMATE_DELIVERED; DECISION_PENDING; CLOSED</t>
        </is>
      </c>
    </row>
    <row r="22">
      <c r="A22" s="2" t="inlineStr">
        <is>
          <t>Assigned_To</t>
        </is>
      </c>
      <c r="B22" s="2" t="inlineStr">
        <is>
          <t>Conditional or optional</t>
        </is>
      </c>
      <c r="C22" s="2" t="inlineStr">
        <is>
          <t>text</t>
        </is>
      </c>
      <c r="D22" s="2" t="inlineStr">
        <is>
          <t>When open. One accountable internal owner Prevents ownerless follow-up</t>
        </is>
      </c>
    </row>
    <row r="23">
      <c r="A23" s="2" t="inlineStr">
        <is>
          <t>Last_Contact_Date</t>
        </is>
      </c>
      <c r="B23" s="2" t="inlineStr">
        <is>
          <t>Conditional or optional</t>
        </is>
      </c>
      <c r="C23" s="2" t="inlineStr">
        <is>
          <t>date</t>
        </is>
      </c>
      <c r="D23" s="2" t="inlineStr">
        <is>
          <t>After a contact event. Date of latest evidenced contact Makes cadence auditable</t>
        </is>
      </c>
    </row>
    <row r="24">
      <c r="A24" s="2" t="inlineStr">
        <is>
          <t>Last_Contact_Channel</t>
        </is>
      </c>
      <c r="B24" s="2" t="inlineStr">
        <is>
          <t>Conditional or optional</t>
        </is>
      </c>
      <c r="C24" s="2" t="inlineStr">
        <is>
          <t>text</t>
        </is>
      </c>
      <c r="D24" s="2" t="inlineStr">
        <is>
          <t>EMAIL; PHONE; MARKETPLACE; OTHER</t>
        </is>
      </c>
    </row>
    <row r="25">
      <c r="A25" s="2" t="inlineStr">
        <is>
          <t>Next_Action</t>
        </is>
      </c>
      <c r="B25" s="2" t="inlineStr">
        <is>
          <t>Conditional or optional</t>
        </is>
      </c>
      <c r="C25" s="2" t="inlineStr">
        <is>
          <t>text</t>
        </is>
      </c>
      <c r="D25" s="2" t="inlineStr">
        <is>
          <t>When open. Specific observable next step Makes the queue actionable</t>
        </is>
      </c>
    </row>
    <row r="26">
      <c r="A26" s="2" t="inlineStr">
        <is>
          <t>Next_Action_Date</t>
        </is>
      </c>
      <c r="B26" s="2" t="inlineStr">
        <is>
          <t>Conditional or optional</t>
        </is>
      </c>
      <c r="C26" s="2" t="inlineStr">
        <is>
          <t>date</t>
        </is>
      </c>
      <c r="D26" s="2" t="inlineStr">
        <is>
          <t>When open. Date agreed or assigned Drives due queue</t>
        </is>
      </c>
    </row>
    <row r="27">
      <c r="A27" s="2" t="inlineStr">
        <is>
          <t>Estimate_Ref</t>
        </is>
      </c>
      <c r="B27" s="2" t="inlineStr">
        <is>
          <t>Conditional or optional</t>
        </is>
      </c>
      <c r="C27" s="2" t="inlineStr">
        <is>
          <t>text</t>
        </is>
      </c>
      <c r="D27" s="2" t="inlineStr">
        <is>
          <t>When estimate exists. Approved secure estimate reference Binds tracker to estimate evidence</t>
        </is>
      </c>
    </row>
    <row r="28">
      <c r="A28" s="2" t="inlineStr">
        <is>
          <t>Estimate_Delivered_Date</t>
        </is>
      </c>
      <c r="B28" s="2" t="inlineStr">
        <is>
          <t>Conditional or optional</t>
        </is>
      </c>
      <c r="C28" s="2" t="inlineStr">
        <is>
          <t>date</t>
        </is>
      </c>
      <c r="D28" s="2" t="inlineStr">
        <is>
          <t>When stage is ESTIMATE_DELIVERED or DECISION_PENDING. Verified delivery date Prevents presumed delivery</t>
        </is>
      </c>
    </row>
    <row r="29">
      <c r="A29" s="2" t="inlineStr">
        <is>
          <t>Estimate_Amount</t>
        </is>
      </c>
      <c r="B29" s="2" t="inlineStr">
        <is>
          <t>Conditional or optional</t>
        </is>
      </c>
      <c r="C29" s="2" t="inlineStr">
        <is>
          <t>currency</t>
        </is>
      </c>
      <c r="D29" s="2" t="inlineStr">
        <is>
          <t>When estimate exists. Amount from approved estimate; blank if unavailable Supports bounded pipeline review</t>
        </is>
      </c>
    </row>
    <row r="30">
      <c r="A30" s="2" t="inlineStr">
        <is>
          <t>Follow_Up_Count</t>
        </is>
      </c>
      <c r="B30" s="2" t="inlineStr">
        <is>
          <t>Yes</t>
        </is>
      </c>
      <c r="C30" s="2" t="inlineStr">
        <is>
          <t>integer</t>
        </is>
      </c>
      <c r="D30" s="2" t="inlineStr">
        <is>
          <t>Always. Count only material documented attempts Avoids double-counting activity</t>
        </is>
      </c>
    </row>
    <row r="31">
      <c r="A31" s="2" t="inlineStr">
        <is>
          <t>Days_Since_Estimate</t>
        </is>
      </c>
      <c r="B31" s="2" t="inlineStr">
        <is>
          <t>Conditional or optional</t>
        </is>
      </c>
      <c r="C31" s="2" t="inlineStr">
        <is>
          <t>integer</t>
        </is>
      </c>
      <c r="D31" s="2" t="inlineStr">
        <is>
          <t>Calculated and locked: =IF(OR([@[Estimate_Delivered_Date]]="",[@[Control_Date]]=""),"",MAX(0,[@[Control_Date]]-[@[Estimate_Delivered_Date]]))</t>
        </is>
      </c>
    </row>
    <row r="32">
      <c r="A32" s="2" t="inlineStr">
        <is>
          <t>Response_Status</t>
        </is>
      </c>
      <c r="B32" s="2" t="inlineStr">
        <is>
          <t>Yes</t>
        </is>
      </c>
      <c r="C32" s="2" t="inlineStr">
        <is>
          <t>text</t>
        </is>
      </c>
      <c r="D32" s="2" t="inlineStr">
        <is>
          <t>NOT_STARTED; ATTEMPTED; CONNECTED; WAITING_CUSTOMER; WAITING_INTERNAL; COMPLETE</t>
        </is>
      </c>
    </row>
    <row r="33">
      <c r="A33" s="2" t="inlineStr">
        <is>
          <t>Outcome</t>
        </is>
      </c>
      <c r="B33" s="2" t="inlineStr">
        <is>
          <t>Conditional or optional</t>
        </is>
      </c>
      <c r="C33" s="2" t="inlineStr">
        <is>
          <t>text</t>
        </is>
      </c>
      <c r="D33" s="2" t="inlineStr">
        <is>
          <t>WON; LOST; DECLINED; DUPLICATE; INVALID</t>
        </is>
      </c>
    </row>
    <row r="34">
      <c r="A34" s="2" t="inlineStr">
        <is>
          <t>Outcome_Date</t>
        </is>
      </c>
      <c r="B34" s="2" t="inlineStr">
        <is>
          <t>Conditional or optional</t>
        </is>
      </c>
      <c r="C34" s="2" t="inlineStr">
        <is>
          <t>date</t>
        </is>
      </c>
      <c r="D34" s="2" t="inlineStr">
        <is>
          <t>When closed. Date the outcome was evidenced Completes lifecycle history</t>
        </is>
      </c>
    </row>
    <row r="35">
      <c r="A35" s="2" t="inlineStr">
        <is>
          <t>Evidence_Ref</t>
        </is>
      </c>
      <c r="B35" s="2" t="inlineStr">
        <is>
          <t>Conditional or optional</t>
        </is>
      </c>
      <c r="C35" s="2" t="inlineStr">
        <is>
          <t>text</t>
        </is>
      </c>
      <c r="D35" s="2" t="inlineStr">
        <is>
          <t>After material event. Secure reference; no secret URL or credential Binds events to source evidence</t>
        </is>
      </c>
    </row>
    <row r="36">
      <c r="A36" s="2" t="inlineStr">
        <is>
          <t>Notes</t>
        </is>
      </c>
      <c r="B36" s="2" t="inlineStr">
        <is>
          <t>Conditional or optional</t>
        </is>
      </c>
      <c r="C36" s="2" t="inlineStr">
        <is>
          <t>text</t>
        </is>
      </c>
      <c r="D36" s="2" t="inlineStr">
        <is>
          <t>Optional. Facts and decisions only; avoid sensitive personal details Adds necessary context</t>
        </is>
      </c>
    </row>
    <row r="37">
      <c r="A37" s="2" t="inlineStr">
        <is>
          <t>Follow_Up_Flag</t>
        </is>
      </c>
      <c r="B37" s="2" t="inlineStr">
        <is>
          <t>Conditional or optional</t>
        </is>
      </c>
      <c r="C37" s="2" t="inlineStr">
        <is>
          <t>text</t>
        </is>
      </c>
      <c r="D37" s="2" t="inlineStr">
        <is>
          <t>Calculated and locked: =IF([@[Stage]]="CLOSED","CLOSED",IF(OR([@[Control_Date]]="",NOT(OR([@[Contact_Eligibility]]="ELIGIBLE",[@[Contact_Eligibility]]="PREFERENCE_LIMITED"))),"HOLD",IF([@[Next_Action_Date]]="","DUE",IF([@[Next_Action_Date]]&lt;[@[Control_Date]],"OVERDUE",IF([@[Next_Action_Date]]=[@[Control_Date]],"DUE","NOT_DUE")))))</t>
        </is>
      </c>
    </row>
    <row r="38">
      <c r="A38" s="2" t="inlineStr">
        <is>
          <t>Record_Quality_Flag</t>
        </is>
      </c>
      <c r="B38" s="2" t="inlineStr">
        <is>
          <t>Conditional or optional</t>
        </is>
      </c>
      <c r="C38" s="2" t="inlineStr">
        <is>
          <t>text</t>
        </is>
      </c>
      <c r="D38" s="2" t="inlineStr">
        <is>
          <t>Calculated and locked: =IF(OR([@[Lead_ID]]="",[@[Received_Date]]="",[@[Control_Date]]="",[@[Received_Date]]&gt;[@[Control_Date]],[@[Customer_Record_Ref]]="",[@[Project_Type]]="",[@[Lead_Source]]="",[@[Contact_Eligibility]]="",[@[Priority]]="",[@[Stage]]="",[@[Follow_Up_Count]]="",[@[Follow_Up_Count]]&lt;0,[@[Response_Status]]="",[@[Evidence_Ref]]="",AND([@[Last_Contact_Date]]&lt;&gt;"",[@[Last_Contact_Date]]&gt;[@[Control_Date]]),AND([@[Follow_Up_Count]]&gt;0,OR([@[Last_Contact_Date]]="",[@[Last_Contact_Channel]]="")),AND([@[Stage]]&lt;&gt;"CLOSED",OR([@[Assigned_To]]="",[@[Next_Action]]="",[@[Next_Action_Date]]="")),AND(OR([@[Stage]]="ESTIMATE_DELIVERED",[@[Stage]]="DECISION_PENDING"),OR([@[Estimate_Ref]]="",[@[Estimate_Delivered_Date]]="",[@[Estimate_Delivered_Date]]&gt;[@[Control_Date]])),AND([@[Stage]]="CLOSED",OR([@[Outcome]]="",[@[Outcome_Date]]="",[@[Outcome_Date]]&gt;[@[Control_Date]]))),"REVIEW","COMPLETE")</t>
        </is>
      </c>
    </row>
  </sheetData>
  <mergeCells count="2">
    <mergeCell ref="A1:D1"/>
    <mergeCell ref="A2:D2"/>
  </mergeCell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5" customWidth="1"/>
    <col min="3" max="3" width="14" customWidth="1"/>
    <col min="4" max="4" width="21" customWidth="1"/>
    <col min="5" max="5" width="14" customWidth="1"/>
    <col min="6" max="6" width="13" customWidth="1"/>
    <col min="7" max="7" width="19" customWidth="1"/>
    <col min="8" max="8" width="21" customWidth="1"/>
    <col min="9" max="9" width="13" customWidth="1"/>
    <col min="10" max="10" width="13" customWidth="1"/>
    <col min="11" max="11" width="13" customWidth="1"/>
    <col min="12" max="12" width="19" customWidth="1"/>
    <col min="13" max="13" width="22" customWidth="1"/>
    <col min="14" max="14" width="13" customWidth="1"/>
    <col min="15" max="15" width="18" customWidth="1"/>
    <col min="16" max="16" width="14" customWidth="1"/>
    <col min="17" max="17" width="25" customWidth="1"/>
    <col min="18" max="18" width="17" customWidth="1"/>
    <col min="19" max="19" width="17" customWidth="1"/>
    <col min="20" max="20" width="21" customWidth="1"/>
    <col min="21" max="21" width="17" customWidth="1"/>
    <col min="22" max="22" width="13" customWidth="1"/>
    <col min="23" max="23" width="14" customWidth="1"/>
    <col min="24" max="24" width="14" customWidth="1"/>
    <col min="25" max="25" width="13" customWidth="1"/>
    <col min="26" max="26" width="16" customWidth="1"/>
    <col min="27" max="27" width="21" customWidth="1"/>
  </cols>
  <sheetData>
    <row r="1" ht="24" customHeight="1">
      <c r="A1" s="3" t="inlineStr">
        <is>
          <t>Lead_ID</t>
        </is>
      </c>
      <c r="B1" s="3" t="inlineStr">
        <is>
          <t>Received_Date</t>
        </is>
      </c>
      <c r="C1" s="3" t="inlineStr">
        <is>
          <t>Control_Date</t>
        </is>
      </c>
      <c r="D1" s="3" t="inlineStr">
        <is>
          <t>Customer_Record_Ref</t>
        </is>
      </c>
      <c r="E1" s="3" t="inlineStr">
        <is>
          <t>Project_Type</t>
        </is>
      </c>
      <c r="F1" s="3" t="inlineStr">
        <is>
          <t>Lead_Source</t>
        </is>
      </c>
      <c r="G1" s="3" t="inlineStr">
        <is>
          <t>Preferred_Channel</t>
        </is>
      </c>
      <c r="H1" s="3" t="inlineStr">
        <is>
          <t>Contact_Eligibility</t>
        </is>
      </c>
      <c r="I1" s="3" t="inlineStr">
        <is>
          <t>Priority</t>
        </is>
      </c>
      <c r="J1" s="3" t="inlineStr">
        <is>
          <t>Stage</t>
        </is>
      </c>
      <c r="K1" s="3" t="inlineStr">
        <is>
          <t>Assigned_To</t>
        </is>
      </c>
      <c r="L1" s="3" t="inlineStr">
        <is>
          <t>Last_Contact_Date</t>
        </is>
      </c>
      <c r="M1" s="3" t="inlineStr">
        <is>
          <t>Last_Contact_Channel</t>
        </is>
      </c>
      <c r="N1" s="3" t="inlineStr">
        <is>
          <t>Next_Action</t>
        </is>
      </c>
      <c r="O1" s="3" t="inlineStr">
        <is>
          <t>Next_Action_Date</t>
        </is>
      </c>
      <c r="P1" s="3" t="inlineStr">
        <is>
          <t>Estimate_Ref</t>
        </is>
      </c>
      <c r="Q1" s="3" t="inlineStr">
        <is>
          <t>Estimate_Delivered_Date</t>
        </is>
      </c>
      <c r="R1" s="3" t="inlineStr">
        <is>
          <t>Estimate_Amount</t>
        </is>
      </c>
      <c r="S1" s="3" t="inlineStr">
        <is>
          <t>Follow_Up_Count</t>
        </is>
      </c>
      <c r="T1" s="3" t="inlineStr">
        <is>
          <t>Days_Since_Estimate</t>
        </is>
      </c>
      <c r="U1" s="3" t="inlineStr">
        <is>
          <t>Response_Status</t>
        </is>
      </c>
      <c r="V1" s="3" t="inlineStr">
        <is>
          <t>Outcome</t>
        </is>
      </c>
      <c r="W1" s="3" t="inlineStr">
        <is>
          <t>Outcome_Date</t>
        </is>
      </c>
      <c r="X1" s="3" t="inlineStr">
        <is>
          <t>Evidence_Ref</t>
        </is>
      </c>
      <c r="Y1" s="3" t="inlineStr">
        <is>
          <t>Notes</t>
        </is>
      </c>
      <c r="Z1" s="3" t="inlineStr">
        <is>
          <t>Follow_Up_Flag</t>
        </is>
      </c>
      <c r="AA1" s="3" t="inlineStr">
        <is>
          <t>Record_Quality_Flag</t>
        </is>
      </c>
    </row>
    <row r="2">
      <c r="A2" s="4"/>
      <c r="B2" s="5"/>
      <c r="C2" s="5"/>
      <c r="D2" s="4"/>
      <c r="E2" s="4"/>
      <c r="F2" s="4"/>
      <c r="G2" s="4"/>
      <c r="H2" s="4"/>
      <c r="I2" s="4"/>
      <c r="J2" s="4"/>
      <c r="K2" s="4"/>
      <c r="L2" s="5"/>
      <c r="M2" s="4"/>
      <c r="N2" s="4"/>
      <c r="O2" s="5"/>
      <c r="P2" s="4"/>
      <c r="Q2" s="5"/>
      <c r="R2" s="7"/>
      <c r="S2" s="9"/>
      <c r="T2" s="16">
        <f>IF(OR(Leads[[#This Row],[Estimate_Delivered_Date]]="",Leads[[#This Row],[Control_Date]]=""),"",MAX(0,Leads[[#This Row],[Control_Date]]-Leads[[#This Row],[Estimate_Delivered_Date]]))</f>
      </c>
      <c r="U2" s="4"/>
      <c r="V2" s="4"/>
      <c r="W2" s="5"/>
      <c r="X2" s="4"/>
      <c r="Y2" s="4"/>
      <c r="Z2" s="11">
        <f>IF(Leads[[#This Row],[Stage]]="CLOSED","CLOSED",IF(OR(Leads[[#This Row],[Control_Date]]="",NOT(OR(Leads[[#This Row],[Contact_Eligibility]]="ELIGIBLE",Leads[[#This Row],[Contact_Eligibility]]="PREFERENCE_LIMITED"))),"HOLD",IF(Leads[[#This Row],[Next_Action_Date]]="","DUE",IF(Leads[[#This Row],[Next_Action_Date]]&lt;Leads[[#This Row],[Control_Date]],"OVERDUE",IF(Leads[[#This Row],[Next_Action_Date]]=Leads[[#This Row],[Control_Date]],"DUE","NOT_DUE")))))</f>
      </c>
      <c r="AA2" s="11">
        <f>IF(OR(Leads[[#This Row],[Lead_ID]]="",Leads[[#This Row],[Received_Date]]="",Leads[[#This Row],[Control_Date]]="",Leads[[#This Row],[Received_Date]]&gt;Leads[[#This Row],[Control_Date]],Leads[[#This Row],[Customer_Record_Ref]]="",Leads[[#This Row],[Project_Type]]="",Leads[[#This Row],[Lead_Source]]="",Leads[[#This Row],[Contact_Eligibility]]="",Leads[[#This Row],[Priority]]="",Leads[[#This Row],[Stage]]="",Leads[[#This Row],[Follow_Up_Count]]="",Leads[[#This Row],[Follow_Up_Count]]&lt;0,Leads[[#This Row],[Response_Status]]="",Leads[[#This Row],[Evidence_Ref]]="",AND(Leads[[#This Row],[Last_Contact_Date]]&lt;&gt;"",Leads[[#This Row],[Last_Contact_Date]]&gt;Leads[[#This Row],[Control_Date]]),AND(Leads[[#This Row],[Follow_Up_Count]]&gt;0,OR(Leads[[#This Row],[Last_Contact_Date]]="",Leads[[#This Row],[Last_Contact_Channel]]="")),AND(Leads[[#This Row],[Stage]]&lt;&gt;"CLOSED",OR(Leads[[#This Row],[Assigned_To]]="",Leads[[#This Row],[Next_Action]]="",Leads[[#This Row],[Next_Action_Date]]="")),AND(OR(Leads[[#This Row],[Stage]]="ESTIMATE_DELIVERED",Leads[[#This Row],[Stage]]="DECISION_PENDING"),OR(Leads[[#This Row],[Estimate_Ref]]="",Leads[[#This Row],[Estimate_Delivered_Date]]="",Leads[[#This Row],[Estimate_Delivered_Date]]&gt;Leads[[#This Row],[Control_Date]])),AND(Leads[[#This Row],[Stage]]="CLOSED",OR(Leads[[#This Row],[Outcome]]="",Leads[[#This Row],[Outcome_Date]]="",Leads[[#This Row],[Outcome_Date]]&gt;Leads[[#This Row],[Control_Date]]))),"REVIEW","COMPLETE")</f>
      </c>
    </row>
  </sheetData>
  <sheetProtection sheet="1" objects="1" scenarios="1" formatCells="1" formatColumns="1" formatRows="1" insertColumns="1" insertRows="0" insertHyperlinks="1" deleteColumns="1" deleteRows="1" selectLockedCells="1" sort="0" autoFilter="0" pivotTables="1" selectUnlockedCells="0"/>
  <dataValidations count="24">
    <dataValidation type="custom" allowBlank="0" showInputMessage="1" showErrorMessage="1" errorStyle="stop" sqref="A2:A1048576" errorTitle="Unsafe text value" error="Enter text that does not begin with =, +, -, or @." promptTitle="Verified text" prompt="Paste values only; formula-leading text is rejected.">
      <formula1>AND(LEN(TRIM(A2))&gt;0,NOT(OR(LEFT(A2,1)="=",LEFT(A2,1)="+",LEFT(A2,1)="-",LEFT(A2,1)="@")))</formula1>
    </dataValidation>
    <dataValidation type="date" operator="between" allowBlank="0" showInputMessage="1" showErrorMessage="1" errorStyle="stop" sqref="B2:B1048576" errorTitle="Invalid date" error="Enter a valid Excel date." promptTitle="Date" prompt="Enter a verified date.">
      <formula1>1</formula1>
      <formula2>2958465</formula2>
    </dataValidation>
    <dataValidation type="date" operator="between" allowBlank="0" showInputMessage="1" showErrorMessage="1" errorStyle="stop" sqref="C2:C1048576" errorTitle="Invalid date" error="Enter a valid Excel date." promptTitle="Date" prompt="Enter a verified date.">
      <formula1>1</formula1>
      <formula2>2958465</formula2>
    </dataValidation>
    <dataValidation type="custom" allowBlank="0" showInputMessage="1" showErrorMessage="1" errorStyle="stop" sqref="D2:D1048576" errorTitle="Unsafe text value" error="Enter text that does not begin with =, +, -, or @." promptTitle="Verified text" prompt="Paste values only; formula-leading text is rejected.">
      <formula1>AND(LEN(TRIM(D2))&gt;0,NOT(OR(LEFT(D2,1)="=",LEFT(D2,1)="+",LEFT(D2,1)="-",LEFT(D2,1)="@")))</formula1>
    </dataValidation>
    <dataValidation type="custom" allowBlank="0" showInputMessage="1" showErrorMessage="1" errorStyle="stop" sqref="E2:E1048576" errorTitle="Unsafe text value" error="Enter text that does not begin with =, +, -, or @." promptTitle="Verified text" prompt="Paste values only; formula-leading text is rejected.">
      <formula1>AND(LEN(TRIM(E2))&gt;0,NOT(OR(LEFT(E2,1)="=",LEFT(E2,1)="+",LEFT(E2,1)="-",LEFT(E2,1)="@")))</formula1>
    </dataValidation>
    <dataValidation type="custom" allowBlank="0" showInputMessage="1" showErrorMessage="1" errorStyle="stop" sqref="F2:F1048576" errorTitle="Unsafe text value" error="Enter text that does not begin with =, +, -, or @." promptTitle="Verified text" prompt="Paste values only; formula-leading text is rejected.">
      <formula1>AND(LEN(TRIM(F2))&gt;0,NOT(OR(LEFT(F2,1)="=",LEFT(F2,1)="+",LEFT(F2,1)="-",LEFT(F2,1)="@")))</formula1>
    </dataValidation>
    <dataValidation type="list" allowBlank="1" showInputMessage="1" showErrorMessage="1" errorStyle="stop" sqref="G2:G1048576" errorTitle="Invalid value" error="Choose a value from the controlled list." promptTitle="Controlled field" prompt="Choose a listed value; do not invent a new status.">
      <formula1>_dv_7</formula1>
    </dataValidation>
    <dataValidation type="list" allowBlank="0" showInputMessage="1" showErrorMessage="1" errorStyle="stop" sqref="H2:H1048576" errorTitle="Invalid value" error="Choose a value from the controlled list." promptTitle="Controlled field" prompt="Choose a listed value; do not invent a new status.">
      <formula1>_dv_8</formula1>
    </dataValidation>
    <dataValidation type="list" allowBlank="0" showInputMessage="1" showErrorMessage="1" errorStyle="stop" sqref="I2:I1048576" errorTitle="Invalid value" error="Choose a value from the controlled list." promptTitle="Controlled field" prompt="Choose a listed value; do not invent a new status.">
      <formula1>_dv_9</formula1>
    </dataValidation>
    <dataValidation type="list" allowBlank="0" showInputMessage="1" showErrorMessage="1" errorStyle="stop" sqref="J2:J1048576" errorTitle="Invalid value" error="Choose a value from the controlled list." promptTitle="Controlled field" prompt="Choose a listed value; do not invent a new status.">
      <formula1>_dv_10</formula1>
    </dataValidation>
    <dataValidation type="custom" allowBlank="1" showInputMessage="1" showErrorMessage="1" errorStyle="stop" sqref="K2:K1048576" errorTitle="Unsafe text value" error="Enter text that does not begin with =, +, -, or @." promptTitle="Verified text" prompt="Paste values only; formula-leading text is rejected.">
      <formula1>OR(K2="",AND(LEN(TRIM(K2))&gt;0,NOT(OR(LEFT(K2,1)="=",LEFT(K2,1)="+",LEFT(K2,1)="-",LEFT(K2,1)="@"))))</formula1>
    </dataValidation>
    <dataValidation type="date" operator="between" allowBlank="1" showInputMessage="1" showErrorMessage="1" errorStyle="stop" sqref="L2:L1048576" errorTitle="Invalid date" error="Enter a valid Excel date." promptTitle="Date" prompt="Enter a verified date.">
      <formula1>1</formula1>
      <formula2>2958465</formula2>
    </dataValidation>
    <dataValidation type="list" allowBlank="1" showInputMessage="1" showErrorMessage="1" errorStyle="stop" sqref="M2:M1048576" errorTitle="Invalid value" error="Choose a value from the controlled list." promptTitle="Controlled field" prompt="Choose a listed value; do not invent a new status.">
      <formula1>_dv_13</formula1>
    </dataValidation>
    <dataValidation type="custom" allowBlank="1" showInputMessage="1" showErrorMessage="1" errorStyle="stop" sqref="N2:N1048576" errorTitle="Unsafe text value" error="Enter text that does not begin with =, +, -, or @." promptTitle="Verified text" prompt="Paste values only; formula-leading text is rejected.">
      <formula1>OR(N2="",AND(LEN(TRIM(N2))&gt;0,NOT(OR(LEFT(N2,1)="=",LEFT(N2,1)="+",LEFT(N2,1)="-",LEFT(N2,1)="@"))))</formula1>
    </dataValidation>
    <dataValidation type="date" operator="between" allowBlank="1" showInputMessage="1" showErrorMessage="1" errorStyle="stop" sqref="O2:O1048576" errorTitle="Invalid date" error="Enter a valid Excel date." promptTitle="Date" prompt="Enter a verified date.">
      <formula1>1</formula1>
      <formula2>2958465</formula2>
    </dataValidation>
    <dataValidation type="custom" allowBlank="1" showInputMessage="1" showErrorMessage="1" errorStyle="stop" sqref="P2:P1048576" errorTitle="Unsafe text value" error="Enter text that does not begin with =, +, -, or @." promptTitle="Verified text" prompt="Paste values only; formula-leading text is rejected.">
      <formula1>OR(P2="",AND(LEN(TRIM(P2))&gt;0,NOT(OR(LEFT(P2,1)="=",LEFT(P2,1)="+",LEFT(P2,1)="-",LEFT(P2,1)="@"))))</formula1>
    </dataValidation>
    <dataValidation type="date" operator="between" allowBlank="1" showInputMessage="1" showErrorMessage="1" errorStyle="stop" sqref="Q2:Q1048576" errorTitle="Invalid date" error="Enter a valid Excel date." promptTitle="Date" prompt="Enter a verified date.">
      <formula1>1</formula1>
      <formula2>2958465</formula2>
    </dataValidation>
    <dataValidation type="decimal" operator="between" allowBlank="1" showInputMessage="1" showErrorMessage="1" errorStyle="stop" sqref="R2:R1048576" errorTitle="Invalid number" error="Enter a numeric value." promptTitle="Number" prompt="Enter a verified numeric value.">
      <formula1>-1E+307</formula1>
      <formula2>1E+307</formula2>
    </dataValidation>
    <dataValidation type="whole" operator="between" allowBlank="0" showInputMessage="1" showErrorMessage="1" errorStyle="stop" sqref="S2:S1048576" errorTitle="Invalid whole number" error="Enter a whole number." promptTitle="Whole number" prompt="Enter a verified whole number.">
      <formula1>-9007199254740991</formula1>
      <formula2>9007199254740991</formula2>
    </dataValidation>
    <dataValidation type="list" allowBlank="0" showInputMessage="1" showErrorMessage="1" errorStyle="stop" sqref="U2:U1048576" errorTitle="Invalid value" error="Choose a value from the controlled list." promptTitle="Controlled field" prompt="Choose a listed value; do not invent a new status.">
      <formula1>_dv_21</formula1>
    </dataValidation>
    <dataValidation type="list" allowBlank="1" showInputMessage="1" showErrorMessage="1" errorStyle="stop" sqref="V2:V1048576" errorTitle="Invalid value" error="Choose a value from the controlled list." promptTitle="Controlled field" prompt="Choose a listed value; do not invent a new status.">
      <formula1>_dv_22</formula1>
    </dataValidation>
    <dataValidation type="date" operator="between" allowBlank="1" showInputMessage="1" showErrorMessage="1" errorStyle="stop" sqref="W2:W1048576" errorTitle="Invalid date" error="Enter a valid Excel date." promptTitle="Date" prompt="Enter a verified date.">
      <formula1>1</formula1>
      <formula2>2958465</formula2>
    </dataValidation>
    <dataValidation type="custom" allowBlank="1" showInputMessage="1" showErrorMessage="1" errorStyle="stop" sqref="X2:X1048576" errorTitle="Unsafe text value" error="Enter text that does not begin with =, +, -, or @." promptTitle="Verified text" prompt="Paste values only; formula-leading text is rejected.">
      <formula1>OR(X2="",AND(LEN(TRIM(X2))&gt;0,NOT(OR(LEFT(X2,1)="=",LEFT(X2,1)="+",LEFT(X2,1)="-",LEFT(X2,1)="@"))))</formula1>
    </dataValidation>
    <dataValidation type="custom" allowBlank="1" showInputMessage="1" showErrorMessage="1" errorStyle="stop" sqref="Y2:Y1048576" errorTitle="Unsafe text value" error="Enter text that does not begin with =, +, -, or @." promptTitle="Verified text" prompt="Paste values only; formula-leading text is rejected.">
      <formula1>OR(Y2="",AND(LEN(TRIM(Y2))&gt;0,NOT(OR(LEFT(Y2,1)="=",LEFT(Y2,1)="+",LEFT(Y2,1)="-",LEFT(Y2,1)="@"))))</formula1>
    </dataValidation>
  </dataValidations>
  <pageMargins left="0.25" right="0.25" top="0.5" bottom="0.5" header="0.2" footer="0.2"/>
  <tableParts count="1">
    <tablePart r:id="rId1"/>
  </tableParts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"/>
  <sheetData>
    <row r="1">
      <c r="A1" t="inlineStr">
        <is>
          <t>EMAIL</t>
        </is>
      </c>
      <c r="B1" t="inlineStr">
        <is>
          <t>ELIGIBLE</t>
        </is>
      </c>
      <c r="C1" t="inlineStr">
        <is>
          <t>HIGH</t>
        </is>
      </c>
      <c r="D1" t="inlineStr">
        <is>
          <t>NEW</t>
        </is>
      </c>
      <c r="E1" t="inlineStr">
        <is>
          <t>EMAIL</t>
        </is>
      </c>
      <c r="F1" t="inlineStr">
        <is>
          <t>NOT_STARTED</t>
        </is>
      </c>
      <c r="G1" t="inlineStr">
        <is>
          <t>WON</t>
        </is>
      </c>
    </row>
    <row r="2">
      <c r="A2" t="inlineStr">
        <is>
          <t>PHONE</t>
        </is>
      </c>
      <c r="B2" t="inlineStr">
        <is>
          <t>PREFERENCE_LIMITED</t>
        </is>
      </c>
      <c r="C2" t="inlineStr">
        <is>
          <t>MEDIUM</t>
        </is>
      </c>
      <c r="D2" t="inlineStr">
        <is>
          <t>CONTACTED</t>
        </is>
      </c>
      <c r="E2" t="inlineStr">
        <is>
          <t>PHONE</t>
        </is>
      </c>
      <c r="F2" t="inlineStr">
        <is>
          <t>ATTEMPTED</t>
        </is>
      </c>
      <c r="G2" t="inlineStr">
        <is>
          <t>LOST</t>
        </is>
      </c>
    </row>
    <row r="3">
      <c r="A3" t="inlineStr">
        <is>
          <t>MARKETPLACE</t>
        </is>
      </c>
      <c r="B3" t="inlineStr">
        <is>
          <t>OPTED_OUT</t>
        </is>
      </c>
      <c r="C3" t="inlineStr">
        <is>
          <t>LOW</t>
        </is>
      </c>
      <c r="D3" t="inlineStr">
        <is>
          <t>QUALIFYING</t>
        </is>
      </c>
      <c r="E3" t="inlineStr">
        <is>
          <t>MARKETPLACE</t>
        </is>
      </c>
      <c r="F3" t="inlineStr">
        <is>
          <t>CONNECTED</t>
        </is>
      </c>
      <c r="G3" t="inlineStr">
        <is>
          <t>DECLINED</t>
        </is>
      </c>
    </row>
    <row r="4">
      <c r="A4" t="inlineStr">
        <is>
          <t>OTHER</t>
        </is>
      </c>
      <c r="B4" t="inlineStr">
        <is>
          <t>WRONG_CONTACT</t>
        </is>
      </c>
      <c r="D4" t="inlineStr">
        <is>
          <t>SITE_VISIT</t>
        </is>
      </c>
      <c r="E4" t="inlineStr">
        <is>
          <t>OTHER</t>
        </is>
      </c>
      <c r="F4" t="inlineStr">
        <is>
          <t>WAITING_CUSTOMER</t>
        </is>
      </c>
      <c r="G4" t="inlineStr">
        <is>
          <t>DUPLICATE</t>
        </is>
      </c>
    </row>
    <row r="5">
      <c r="A5" t="inlineStr">
        <is>
          <t>UNKNOWN</t>
        </is>
      </c>
      <c r="B5" t="inlineStr">
        <is>
          <t>UNKNOWN</t>
        </is>
      </c>
      <c r="D5" t="inlineStr">
        <is>
          <t>ESTIMATE_IN_PROGRESS</t>
        </is>
      </c>
      <c r="F5" t="inlineStr">
        <is>
          <t>WAITING_INTERNAL</t>
        </is>
      </c>
      <c r="G5" t="inlineStr">
        <is>
          <t>INVALID</t>
        </is>
      </c>
    </row>
    <row r="6">
      <c r="D6" t="inlineStr">
        <is>
          <t>ESTIMATE_DELIVERED</t>
        </is>
      </c>
      <c r="F6" t="inlineStr">
        <is>
          <t>COMPLETE</t>
        </is>
      </c>
    </row>
    <row r="7">
      <c r="D7" t="inlineStr">
        <is>
          <t>DECISION_PENDING</t>
        </is>
      </c>
    </row>
    <row r="8">
      <c r="D8" t="inlineStr">
        <is>
          <t>CLOSED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ENTRAL Phase 204 deterministic XLSX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Lead Tracker</vt:lpstr>
      <vt:lpstr>_Lists</vt:lpstr>
    </vt:vector>
  </TitlesOfParts>
  <Company>Sovereign Protocol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Lead Response and Estimate Follow-Up Kit</dc:title>
  <dc:creator>Sovereign Protocol</dc:creator>
  <cp:lastModifiedBy>Sovereign Protocol</cp:lastModifiedBy>
  <dcterms:created xsi:type="dcterms:W3CDTF">2000-01-01T00:00:00Z</dcterms:created>
  <dcterms:modified xsi:type="dcterms:W3CDTF">2000-01-01T00:00:00Z</dcterms:modified>
</cp:coreProperties>
</file>