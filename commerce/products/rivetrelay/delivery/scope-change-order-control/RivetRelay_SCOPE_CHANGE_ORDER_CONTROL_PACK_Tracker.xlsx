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30228"/>
  <bookViews>
    <workbookView activeTab="1" firstSheet="0"/>
  </bookViews>
  <sheets>
    <sheet name="Instructions" sheetId="1" r:id="rId1"/>
    <sheet name="Change Orders" sheetId="2" r:id="rId2"/>
    <sheet name="_Lists" sheetId="3" state="veryHidden" r:id="rId3"/>
  </sheets>
  <definedNames>
    <definedName name="_dv_6" hidden="1">'_Lists'!$A$1:$A$6</definedName>
    <definedName name="_dv_7" hidden="1">'_Lists'!$B$1:$B$3</definedName>
    <definedName name="_dv_11" hidden="1">'_Lists'!$C$1:$C$10</definedName>
    <definedName name="_dv_16" hidden="1">'_Lists'!$D$1:$D$4</definedName>
    <definedName name="_dv_19" hidden="1">'_Lists'!$E$1:$E$7</definedName>
    <definedName name="_dv_25" hidden="1">'_Lists'!$F$1:$F$7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 hh:mm"/>
    <numFmt numFmtId="166" formatCode="&quot;$&quot;#,##0.00;[Red]-&quot;$&quot;#,##0.00"/>
    <numFmt numFmtId="167" formatCode="0.00%"/>
    <numFmt numFmtId="168" formatCode="0"/>
    <numFmt numFmtId="169" formatCode="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4597A"/>
        <bgColor indexed="64"/>
      </patternFill>
    </fill>
    <fill>
      <patternFill patternType="solid">
        <fgColor rgb="FF3A7596"/>
        <bgColor indexed="64"/>
      </patternFill>
    </fill>
  </fills>
  <borders count="2">
    <border>
      <left/>
      <right/>
      <top/>
      <bottom/>
      <diagonal/>
    </border>
    <border>
      <left style="thin">
        <color rgb="FFD6E0E8"/>
      </left>
      <right style="thin">
        <color rgb="FFD6E0E8"/>
      </right>
      <top style="thin">
        <color rgb="FFD6E0E8"/>
      </top>
      <bottom style="thin">
        <color rgb="FFD6E0E8"/>
      </bottom>
      <diagonal/>
    </border>
  </borders>
  <cellStyleXfs count="1">
    <xf numFmtId="0" fontId="0" fillId="0" borderId="0"/>
  </cellStyleXfs>
  <cellXfs count="19">
    <xf numFmtId="0" fontId="0" fillId="0" borderId="0" xfId="0" applyNumberFormat="1" applyFont="1" applyFill="1" applyBorder="1" applyProtection="1">
      <protection locked="1"/>
    </xf>
    <xf numFmtId="0" fontId="2" fillId="2" borderId="0" xfId="0" applyNumberFormat="1" applyFont="1" applyFill="1" applyBorder="1" applyProtection="1" applyAlignment="1">
      <alignment vertical="center"/>
      <protection locked="1"/>
    </xf>
    <xf numFmtId="0" fontId="0" fillId="0" borderId="0" xfId="0" applyNumberFormat="1" applyFont="1" applyFill="1" applyBorder="1" applyProtection="1" applyAlignment="1">
      <alignment vertical="top" wrapText="1"/>
      <protection locked="1"/>
    </xf>
    <xf numFmtId="0" fontId="1" fillId="3" borderId="1" xfId="0" applyNumberFormat="1" applyFont="1" applyFill="1" applyBorder="1" applyProtection="1" applyAlignment="1">
      <alignment horizontal="center" vertical="center" wrapText="1"/>
      <protection locked="1"/>
    </xf>
    <xf numFmtId="0" fontId="0" fillId="0" borderId="1" xfId="0" applyNumberFormat="1" applyFont="1" applyFill="1" applyBorder="1" applyProtection="1">
      <protection locked="0"/>
    </xf>
    <xf numFmtId="164" fontId="0" fillId="0" borderId="1" xfId="0" applyNumberFormat="1" applyFont="1" applyFill="1" applyBorder="1" applyProtection="1">
      <protection locked="0"/>
    </xf>
    <xf numFmtId="165" fontId="0" fillId="0" borderId="1" xfId="0" applyNumberFormat="1" applyFont="1" applyFill="1" applyBorder="1" applyProtection="1">
      <protection locked="0"/>
    </xf>
    <xf numFmtId="166" fontId="0" fillId="0" borderId="1" xfId="0" applyNumberFormat="1" applyFont="1" applyFill="1" applyBorder="1" applyProtection="1">
      <protection locked="0"/>
    </xf>
    <xf numFmtId="167" fontId="0" fillId="0" borderId="1" xfId="0" applyNumberFormat="1" applyFont="1" applyFill="1" applyBorder="1" applyProtection="1">
      <protection locked="0"/>
    </xf>
    <xf numFmtId="168" fontId="0" fillId="0" borderId="1" xfId="0" applyNumberFormat="1" applyFont="1" applyFill="1" applyBorder="1" applyProtection="1">
      <protection locked="0"/>
    </xf>
    <xf numFmtId="169" fontId="0" fillId="0" borderId="1" xfId="0" applyNumberFormat="1" applyFont="1" applyFill="1" applyBorder="1" applyProtection="1">
      <protection locked="0"/>
    </xf>
    <xf numFmtId="0" fontId="0" fillId="0" borderId="1" xfId="0" applyNumberFormat="1" applyFont="1" applyFill="1" applyBorder="1" applyProtection="1">
      <protection locked="1"/>
    </xf>
    <xf numFmtId="164" fontId="0" fillId="0" borderId="1" xfId="0" applyNumberFormat="1" applyFont="1" applyFill="1" applyBorder="1" applyProtection="1">
      <protection locked="1"/>
    </xf>
    <xf numFmtId="165" fontId="0" fillId="0" borderId="1" xfId="0" applyNumberFormat="1" applyFont="1" applyFill="1" applyBorder="1" applyProtection="1">
      <protection locked="1"/>
    </xf>
    <xf numFmtId="166" fontId="0" fillId="0" borderId="1" xfId="0" applyNumberFormat="1" applyFont="1" applyFill="1" applyBorder="1" applyProtection="1">
      <protection locked="1"/>
    </xf>
    <xf numFmtId="167" fontId="0" fillId="0" borderId="1" xfId="0" applyNumberFormat="1" applyFont="1" applyFill="1" applyBorder="1" applyProtection="1">
      <protection locked="1"/>
    </xf>
    <xf numFmtId="168" fontId="0" fillId="0" borderId="1" xfId="0" applyNumberFormat="1" applyFont="1" applyFill="1" applyBorder="1" applyProtection="1">
      <protection locked="1"/>
    </xf>
    <xf numFmtId="169" fontId="0" fillId="0" borderId="1" xfId="0" applyNumberFormat="1" applyFont="1" applyFill="1" applyBorder="1" applyProtection="1">
      <protection locked="1"/>
    </xf>
    <xf numFmtId="0" fontId="1" fillId="4" borderId="1" xfId="0" applyNumberFormat="1" applyFont="1" applyFill="1" applyBorder="1" applyProtection="1" applyAlignment="1">
      <alignment vertical="center" wrapText="1"/>
      <protection locked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hangeOrders" displayName="ChangeOrders" ref="A1:AE2" headerRowCount="1" totalsRowShown="0">
  <autoFilter ref="A1:AE2"/>
  <tableColumns count="31">
    <tableColumn id="1" name="Project_ID"/>
    <tableColumn id="2" name="Change_Order_ID"/>
    <tableColumn id="3" name="Revision"/>
    <tableColumn id="4" name="Date_Identified"/>
    <tableColumn id="5" name="Control_Date"/>
    <tableColumn id="6" name="Requested_By"/>
    <tableColumn id="7" name="Safety_Class"/>
    <tableColumn id="8" name="Observed_Condition"/>
    <tableColumn id="9" name="Original_Scope_Ref"/>
    <tableColumn id="10" name="Proposed_Change"/>
    <tableColumn id="11" name="Change_Status"/>
    <tableColumn id="12" name="Cost_Impact_PreTax"/>
    <tableColumn id="13" name="Tax_Impact"/>
    <tableColumn id="14" name="Total_Change">
      <calculatedColumnFormula>IF(OR(ChangeOrders[[#This Row],[Cost_Impact_PreTax]]="",ChangeOrders[[#This Row],[Tax_Impact]]=""),"",ChangeOrders[[#This Row],[Cost_Impact_PreTax]]+ChangeOrders[[#This Row],[Tax_Impact]])</calculatedColumnFormula>
    </tableColumn>
    <tableColumn id="15" name="Schedule_Impact_Days"/>
    <tableColumn id="16" name="Schedule_Impact_State"/>
    <tableColumn id="17" name="Proposal_Ref"/>
    <tableColumn id="18" name="Proposal_Issued_Date"/>
    <tableColumn id="19" name="Approval_State"/>
    <tableColumn id="20" name="Decision_Date"/>
    <tableColumn id="21" name="Decision_Evidence_Ref"/>
    <tableColumn id="22" name="Authorized_By"/>
    <tableColumn id="23" name="Work_Completed_Date"/>
    <tableColumn id="24" name="Completion_Evidence_Ref"/>
    <tableColumn id="25" name="Billing_Status"/>
    <tableColumn id="26" name="Invoice_Ref"/>
    <tableColumn id="27" name="Days_Pending_Decision">
      <calculatedColumnFormula>IF(AND(ChangeOrders[[#This Row],[Approval_State]]="REQUESTED",ChangeOrders[[#This Row],[Proposal_Issued_Date]]&lt;&gt;"",ChangeOrders[[#This Row],[Control_Date]]&lt;&gt;""),MAX(0,ChangeOrders[[#This Row],[Control_Date]]-ChangeOrders[[#This Row],[Proposal_Issued_Date]]),0)</calculatedColumnFormula>
    </tableColumn>
    <tableColumn id="28" name="Unbilled_Approved_Value">
      <calculatedColumnFormula>IF(AND(ChangeOrders[[#This Row],[Approval_State]]="APPROVED",OR(ChangeOrders[[#This Row],[Change_Status]]="APPROVED",ChangeOrders[[#This Row],[Change_Status]]="SCHEDULED",ChangeOrders[[#This Row],[Change_Status]]="COMPLETED",ChangeOrders[[#This Row],[Change_Status]]="BILLED"),OR(ChangeOrders[[#This Row],[Billing_Status]]="NOT_READY",ChangeOrders[[#This Row],[Billing_Status]]="READY"),ChangeOrders[[#This Row],[Total_Change]]&lt;&gt;""),ChangeOrders[[#This Row],[Total_Change]],0)</calculatedColumnFormula>
    </tableColumn>
    <tableColumn id="29" name="Control_Flag">
      <calculatedColumnFormula>IF(OR(ChangeOrders[[#This Row],[Project_ID]]="",ChangeOrders[[#This Row],[Change_Order_ID]]="",ChangeOrders[[#This Row],[Revision]]="",ChangeOrders[[#This Row],[Revision]]&lt;1,ChangeOrders[[#This Row],[Date_Identified]]="",ChangeOrders[[#This Row],[Control_Date]]="",ChangeOrders[[#This Row],[Date_Identified]]&gt;ChangeOrders[[#This Row],[Control_Date]],ChangeOrders[[#This Row],[Requested_By]]="",ChangeOrders[[#This Row],[Safety_Class]]="",ChangeOrders[[#This Row],[Observed_Condition]]="",ChangeOrders[[#This Row],[Original_Scope_Ref]]="",ChangeOrders[[#This Row],[Change_Status]]="",ChangeOrders[[#This Row],[Schedule_Impact_State]]="",ChangeOrders[[#This Row],[Approval_State]]="",ChangeOrders[[#This Row],[Billing_Status]]="",ChangeOrders[[#This Row],[Owner]]="",AND(OR(ChangeOrders[[#This Row],[Change_Status]]="PENDING_CUSTOMER",ChangeOrders[[#This Row],[Change_Status]]="APPROVED",ChangeOrders[[#This Row],[Change_Status]]="DECLINED",ChangeOrders[[#This Row],[Change_Status]]="SCHEDULED",ChangeOrders[[#This Row],[Change_Status]]="COMPLETED",ChangeOrders[[#This Row],[Change_Status]]="BILLED"),OR(ChangeOrders[[#This Row],[Proposed_Change]]="",ChangeOrders[[#This Row],[Cost_Impact_PreTax]]="",ChangeOrders[[#This Row],[Tax_Impact]]="",ChangeOrders[[#This Row],[Proposal_Ref]]="",ChangeOrders[[#This Row],[Proposal_Issued_Date]]="",ChangeOrders[[#This Row],[Proposal_Issued_Date]]&lt;ChangeOrders[[#This Row],[Date_Identified]],ChangeOrders[[#This Row],[Proposal_Issued_Date]]&gt;ChangeOrders[[#This Row],[Control_Date]])),AND(ChangeOrders[[#This Row],[Approval_State]]="REQUESTED",OR(ChangeOrders[[#This Row],[Proposal_Ref]]="",ChangeOrders[[#This Row],[Proposal_Issued_Date]]="")),AND(OR(ChangeOrders[[#This Row],[Approval_State]]="APPROVED",ChangeOrders[[#This Row],[Approval_State]]="DECLINED",ChangeOrders[[#This Row],[Approval_State]]="EXPIRED",ChangeOrders[[#This Row],[Approval_State]]="DISPUTED"),OR(ChangeOrders[[#This Row],[Decision_Date]]="",ChangeOrders[[#This Row],[Decision_Date]]&gt;ChangeOrders[[#This Row],[Control_Date]],ChangeOrders[[#This Row],[Decision_Evidence_Ref]]="")),AND(ChangeOrders[[#This Row],[Approval_State]]="APPROVED",ChangeOrders[[#This Row],[Authorized_By]]=""),AND(OR(ChangeOrders[[#This Row],[Change_Status]]="COMPLETED",ChangeOrders[[#This Row],[Change_Status]]="BILLED"),OR(ChangeOrders[[#This Row],[Work_Completed_Date]]="",ChangeOrders[[#This Row],[Work_Completed_Date]]&gt;ChangeOrders[[#This Row],[Control_Date]],ChangeOrders[[#This Row],[Completion_Evidence_Ref]]="")),AND(OR(ChangeOrders[[#This Row],[Billing_Status]]="INVOICED",ChangeOrders[[#This Row],[Billing_Status]]="PARTIALLY_PAID",ChangeOrders[[#This Row],[Billing_Status]]="PAID",ChangeOrders[[#This Row],[Billing_Status]]="DISPUTED",ChangeOrders[[#This Row],[Billing_Status]]="CREDITED"),ChangeOrders[[#This Row],[Invoice_Ref]]="")),"REVIEW",IF(AND(OR(ChangeOrders[[#This Row],[Change_Status]]="APPROVED",ChangeOrders[[#This Row],[Change_Status]]="SCHEDULED",ChangeOrders[[#This Row],[Change_Status]]="COMPLETED",ChangeOrders[[#This Row],[Change_Status]]="BILLED"),NOT(OR(AND(ChangeOrders[[#This Row],[Approval_State]]="APPROVED",ChangeOrders[[#This Row],[Decision_Evidence_Ref]]&lt;&gt;"",ChangeOrders[[#This Row],[Authorized_By]]&lt;&gt;""),AND(ChangeOrders[[#This Row],[Safety_Class]]="EMERGENCY_MAKE_SAFE",ChangeOrders[[#This Row],[Approval_State]]="NOT_APPLICABLE",ChangeOrders[[#This Row],[Decision_Evidence_Ref]]&lt;&gt;"",ChangeOrders[[#This Row],[Authorized_By]]&lt;&gt;"")))),"HOLD","COMPLETE"))</calculatedColumnFormula>
    </tableColumn>
    <tableColumn id="30" name="Owner"/>
    <tableColumn id="31" name="Notes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D42"/>
  <sheetViews>
    <sheetView workbookViewId="0"/>
  </sheetViews>
  <sheetFormatPr defaultRowHeight="15"/>
  <cols>
    <col min="1" max="1" width="34" customWidth="1"/>
    <col min="2" max="2" width="22" customWidth="1"/>
    <col min="3" max="3" width="16" customWidth="1"/>
    <col min="4" max="4" width="90" customWidth="1"/>
  </cols>
  <sheetData>
    <row r="1" ht="30" customHeight="1">
      <c r="A1" s="1" t="inlineStr">
        <is>
          <t>Scope and Change-Order Control Pack</t>
        </is>
      </c>
    </row>
    <row r="2">
      <c r="A2" s="2" t="inlineStr">
        <is>
          <t>Use verified source values only. Input cells are unlocked; formula cells are locked and fill through the Excel table.</t>
        </is>
      </c>
    </row>
    <row r="4">
      <c r="A4" s="18" t="inlineStr">
        <is>
          <t>Operating instructions</t>
        </is>
      </c>
    </row>
    <row r="5">
      <c r="A5" s="2" t="inlineStr">
        <is>
          <t>• Delete the blank starter row only after adding the first verified operating row.</t>
        </is>
      </c>
    </row>
    <row r="6">
      <c r="A6" s="2" t="inlineStr">
        <is>
          <t>• Set every explicit control or as-of date from evidence; the workbook never substitutes the device date.</t>
        </is>
      </c>
    </row>
    <row r="7">
      <c r="A7" s="2" t="inlineStr">
        <is>
          <t>• Paste values only. Text beginning with =, +, -, or @ is rejected to prevent spreadsheet formula injection.</t>
        </is>
      </c>
    </row>
    <row r="8">
      <c r="A8" s="2" t="inlineStr">
        <is>
          <t>• Keep calculated columns protected and reconcile source records before relying on a queue or result.</t>
        </is>
      </c>
    </row>
    <row r="9">
      <c r="A9" s="2" t="inlineStr">
        <is>
          <t>• The editable-source archive includes the import CSV, fictional CSV, exact formulas, and governance instructions.</t>
        </is>
      </c>
    </row>
    <row r="11">
      <c r="A11" s="18" t="inlineStr">
        <is>
          <t>Column</t>
        </is>
      </c>
      <c r="B11" s="18" t="inlineStr">
        <is>
          <t>Required</t>
        </is>
      </c>
      <c r="C11" s="18" t="inlineStr">
        <is>
          <t>Type</t>
        </is>
      </c>
      <c r="D11" s="18" t="inlineStr">
        <is>
          <t>Allowed values / guidance</t>
        </is>
      </c>
    </row>
    <row r="12">
      <c r="A12" s="2" t="inlineStr">
        <is>
          <t>Project_ID</t>
        </is>
      </c>
      <c r="B12" s="2" t="inlineStr">
        <is>
          <t>Yes</t>
        </is>
      </c>
      <c r="C12" s="2" t="inlineStr">
        <is>
          <t>text</t>
        </is>
      </c>
      <c r="D12" s="2" t="inlineStr">
        <is>
          <t>Always. Stable internal project reference Binds the change to one project</t>
        </is>
      </c>
    </row>
    <row r="13">
      <c r="A13" s="2" t="inlineStr">
        <is>
          <t>Change_Order_ID</t>
        </is>
      </c>
      <c r="B13" s="2" t="inlineStr">
        <is>
          <t>Yes</t>
        </is>
      </c>
      <c r="C13" s="2" t="inlineStr">
        <is>
          <t>text</t>
        </is>
      </c>
      <c r="D13" s="2" t="inlineStr">
        <is>
          <t>Always. Unique within the project Supports revision and evidence control</t>
        </is>
      </c>
    </row>
    <row r="14">
      <c r="A14" s="2" t="inlineStr">
        <is>
          <t>Revision</t>
        </is>
      </c>
      <c r="B14" s="2" t="inlineStr">
        <is>
          <t>Yes</t>
        </is>
      </c>
      <c r="C14" s="2" t="inlineStr">
        <is>
          <t>integer</t>
        </is>
      </c>
      <c r="D14" s="2" t="inlineStr">
        <is>
          <t>Always. Starts at 1 and increments; never overwrite issued revision Prevents version ambiguity</t>
        </is>
      </c>
    </row>
    <row r="15">
      <c r="A15" s="2" t="inlineStr">
        <is>
          <t>Date_Identified</t>
        </is>
      </c>
      <c r="B15" s="2" t="inlineStr">
        <is>
          <t>Yes</t>
        </is>
      </c>
      <c r="C15" s="2" t="inlineStr">
        <is>
          <t>date</t>
        </is>
      </c>
      <c r="D15" s="2" t="inlineStr">
        <is>
          <t>Always. Observed or requested date Starts the decision clock</t>
        </is>
      </c>
    </row>
    <row r="16">
      <c r="A16" s="2" t="inlineStr">
        <is>
          <t>Control_Date</t>
        </is>
      </c>
      <c r="B16" s="2" t="inlineStr">
        <is>
          <t>Yes</t>
        </is>
      </c>
      <c r="C16" s="2" t="inlineStr">
        <is>
          <t>date</t>
        </is>
      </c>
      <c r="D16" s="2" t="inlineStr">
        <is>
          <t>Always. Verified local operating date used by every age calculation Makes formula readback stable and auditable</t>
        </is>
      </c>
    </row>
    <row r="17">
      <c r="A17" s="2" t="inlineStr">
        <is>
          <t>Requested_By</t>
        </is>
      </c>
      <c r="B17" s="2" t="inlineStr">
        <is>
          <t>Yes</t>
        </is>
      </c>
      <c r="C17" s="2" t="inlineStr">
        <is>
          <t>text</t>
        </is>
      </c>
      <c r="D17" s="2" t="inlineStr">
        <is>
          <t>CUSTOMER; CONTRACTOR; DESIGNER; AUTHORITY; SITE_CONDITION; OTHER</t>
        </is>
      </c>
    </row>
    <row r="18">
      <c r="A18" s="2" t="inlineStr">
        <is>
          <t>Safety_Class</t>
        </is>
      </c>
      <c r="B18" s="2" t="inlineStr">
        <is>
          <t>Yes</t>
        </is>
      </c>
      <c r="C18" s="2" t="inlineStr">
        <is>
          <t>text</t>
        </is>
      </c>
      <c r="D18" s="2" t="inlineStr">
        <is>
          <t>ROUTINE; SAFETY_HOLD; EMERGENCY_MAKE_SAFE</t>
        </is>
      </c>
    </row>
    <row r="19">
      <c r="A19" s="2" t="inlineStr">
        <is>
          <t>Observed_Condition</t>
        </is>
      </c>
      <c r="B19" s="2" t="inlineStr">
        <is>
          <t>Yes</t>
        </is>
      </c>
      <c r="C19" s="2" t="inlineStr">
        <is>
          <t>text</t>
        </is>
      </c>
      <c r="D19" s="2" t="inlineStr">
        <is>
          <t>Always. Factual condition or request Preserves observation</t>
        </is>
      </c>
    </row>
    <row r="20">
      <c r="A20" s="2" t="inlineStr">
        <is>
          <t>Original_Scope_Ref</t>
        </is>
      </c>
      <c r="B20" s="2" t="inlineStr">
        <is>
          <t>Yes</t>
        </is>
      </c>
      <c r="C20" s="2" t="inlineStr">
        <is>
          <t>text</t>
        </is>
      </c>
      <c r="D20" s="2" t="inlineStr">
        <is>
          <t>Always. Current approved agreement/scope reference Supports scope comparison</t>
        </is>
      </c>
    </row>
    <row r="21">
      <c r="A21" s="2" t="inlineStr">
        <is>
          <t>Proposed_Change</t>
        </is>
      </c>
      <c r="B21" s="2" t="inlineStr">
        <is>
          <t>Conditional or optional</t>
        </is>
      </c>
      <c r="C21" s="2" t="inlineStr">
        <is>
          <t>text</t>
        </is>
      </c>
      <c r="D21" s="2" t="inlineStr">
        <is>
          <t>When status is beyond IDENTIFIED. Exact added removed or revised scope Defines the decision object</t>
        </is>
      </c>
    </row>
    <row r="22">
      <c r="A22" s="2" t="inlineStr">
        <is>
          <t>Change_Status</t>
        </is>
      </c>
      <c r="B22" s="2" t="inlineStr">
        <is>
          <t>Yes</t>
        </is>
      </c>
      <c r="C22" s="2" t="inlineStr">
        <is>
          <t>text</t>
        </is>
      </c>
      <c r="D22" s="2" t="inlineStr">
        <is>
          <t>IDENTIFIED; PRICING; PENDING_CUSTOMER; APPROVED; DECLINED; ON_HOLD; SCHEDULED; COMPLETED; BILLED; VOID</t>
        </is>
      </c>
    </row>
    <row r="23">
      <c r="A23" s="2" t="inlineStr">
        <is>
          <t>Cost_Impact_PreTax</t>
        </is>
      </c>
      <c r="B23" s="2" t="inlineStr">
        <is>
          <t>Conditional or optional</t>
        </is>
      </c>
      <c r="C23" s="2" t="inlineStr">
        <is>
          <t>currency</t>
        </is>
      </c>
      <c r="D23" s="2" t="inlineStr">
        <is>
          <t>When proposal issued. Supported nonnegative or signed credit value Records approved calculation output</t>
        </is>
      </c>
    </row>
    <row r="24">
      <c r="A24" s="2" t="inlineStr">
        <is>
          <t>Tax_Impact</t>
        </is>
      </c>
      <c r="B24" s="2" t="inlineStr">
        <is>
          <t>Conditional or optional</t>
        </is>
      </c>
      <c r="C24" s="2" t="inlineStr">
        <is>
          <t>currency</t>
        </is>
      </c>
      <c r="D24" s="2" t="inlineStr">
        <is>
          <t>When proposal issued. Reviewed value; do not guess Keeps tax impact explicit</t>
        </is>
      </c>
    </row>
    <row r="25">
      <c r="A25" s="2" t="inlineStr">
        <is>
          <t>Total_Change</t>
        </is>
      </c>
      <c r="B25" s="2" t="inlineStr">
        <is>
          <t>Conditional or optional</t>
        </is>
      </c>
      <c r="C25" s="2" t="inlineStr">
        <is>
          <t>currency</t>
        </is>
      </c>
      <c r="D25" s="2" t="inlineStr">
        <is>
          <t>Calculated and locked: =IF(OR([@[Cost_Impact_PreTax]]="",[@[Tax_Impact]]=""),"",[@[Cost_Impact_PreTax]]+[@[Tax_Impact]])</t>
        </is>
      </c>
    </row>
    <row r="26">
      <c r="A26" s="2" t="inlineStr">
        <is>
          <t>Schedule_Impact_Days</t>
        </is>
      </c>
      <c r="B26" s="2" t="inlineStr">
        <is>
          <t>Conditional or optional</t>
        </is>
      </c>
      <c r="C26" s="2" t="inlineStr">
        <is>
          <t>integer</t>
        </is>
      </c>
      <c r="D26" s="2" t="inlineStr">
        <is>
          <t>When known. Signed or zero supported impact Quantifies supported effect</t>
        </is>
      </c>
    </row>
    <row r="27">
      <c r="A27" s="2" t="inlineStr">
        <is>
          <t>Schedule_Impact_State</t>
        </is>
      </c>
      <c r="B27" s="2" t="inlineStr">
        <is>
          <t>Yes</t>
        </is>
      </c>
      <c r="C27" s="2" t="inlineStr">
        <is>
          <t>text</t>
        </is>
      </c>
      <c r="D27" s="2" t="inlineStr">
        <is>
          <t>UNKNOWN; ESTIMATED; VERIFIED; NOT_APPLICABLE</t>
        </is>
      </c>
    </row>
    <row r="28">
      <c r="A28" s="2" t="inlineStr">
        <is>
          <t>Proposal_Ref</t>
        </is>
      </c>
      <c r="B28" s="2" t="inlineStr">
        <is>
          <t>Conditional or optional</t>
        </is>
      </c>
      <c r="C28" s="2" t="inlineStr">
        <is>
          <t>text</t>
        </is>
      </c>
      <c r="D28" s="2" t="inlineStr">
        <is>
          <t>When proposal issued. Stable issued-document reference Binds decision to exact revision</t>
        </is>
      </c>
    </row>
    <row r="29">
      <c r="A29" s="2" t="inlineStr">
        <is>
          <t>Proposal_Issued_Date</t>
        </is>
      </c>
      <c r="B29" s="2" t="inlineStr">
        <is>
          <t>Conditional or optional</t>
        </is>
      </c>
      <c r="C29" s="2" t="inlineStr">
        <is>
          <t>date</t>
        </is>
      </c>
      <c r="D29" s="2" t="inlineStr">
        <is>
          <t>When proposal issued. Actual issue date Supports decision age</t>
        </is>
      </c>
    </row>
    <row r="30">
      <c r="A30" s="2" t="inlineStr">
        <is>
          <t>Approval_State</t>
        </is>
      </c>
      <c r="B30" s="2" t="inlineStr">
        <is>
          <t>Yes</t>
        </is>
      </c>
      <c r="C30" s="2" t="inlineStr">
        <is>
          <t>text</t>
        </is>
      </c>
      <c r="D30" s="2" t="inlineStr">
        <is>
          <t>NOT_REQUESTED; REQUESTED; APPROVED; DECLINED; EXPIRED; DISPUTED; NOT_APPLICABLE</t>
        </is>
      </c>
    </row>
    <row r="31">
      <c r="A31" s="2" t="inlineStr">
        <is>
          <t>Decision_Date</t>
        </is>
      </c>
      <c r="B31" s="2" t="inlineStr">
        <is>
          <t>Conditional or optional</t>
        </is>
      </c>
      <c r="C31" s="2" t="inlineStr">
        <is>
          <t>date</t>
        </is>
      </c>
      <c r="D31" s="2" t="inlineStr">
        <is>
          <t>When approval state is final. Actual evidenced date Completes decision record</t>
        </is>
      </c>
    </row>
    <row r="32">
      <c r="A32" s="2" t="inlineStr">
        <is>
          <t>Decision_Evidence_Ref</t>
        </is>
      </c>
      <c r="B32" s="2" t="inlineStr">
        <is>
          <t>Conditional or optional</t>
        </is>
      </c>
      <c r="C32" s="2" t="inlineStr">
        <is>
          <t>text</t>
        </is>
      </c>
      <c r="D32" s="2" t="inlineStr">
        <is>
          <t>When approval state is APPROVED DECLINED or DISPUTED. Secure stable reference Prevents approval by assumption</t>
        </is>
      </c>
    </row>
    <row r="33">
      <c r="A33" s="2" t="inlineStr">
        <is>
          <t>Authorized_By</t>
        </is>
      </c>
      <c r="B33" s="2" t="inlineStr">
        <is>
          <t>Conditional or optional</t>
        </is>
      </c>
      <c r="C33" s="2" t="inlineStr">
        <is>
          <t>text</t>
        </is>
      </c>
      <c r="D33" s="2" t="inlineStr">
        <is>
          <t>When approved. Verified party or internal safety authority reference Supports authority readback</t>
        </is>
      </c>
    </row>
    <row r="34">
      <c r="A34" s="2" t="inlineStr">
        <is>
          <t>Work_Completed_Date</t>
        </is>
      </c>
      <c r="B34" s="2" t="inlineStr">
        <is>
          <t>Conditional or optional</t>
        </is>
      </c>
      <c r="C34" s="2" t="inlineStr">
        <is>
          <t>date</t>
        </is>
      </c>
      <c r="D34" s="2" t="inlineStr">
        <is>
          <t>When completed or billed. Actual completion date Supports billing reconciliation</t>
        </is>
      </c>
    </row>
    <row r="35">
      <c r="A35" s="2" t="inlineStr">
        <is>
          <t>Completion_Evidence_Ref</t>
        </is>
      </c>
      <c r="B35" s="2" t="inlineStr">
        <is>
          <t>Conditional or optional</t>
        </is>
      </c>
      <c r="C35" s="2" t="inlineStr">
        <is>
          <t>text</t>
        </is>
      </c>
      <c r="D35" s="2" t="inlineStr">
        <is>
          <t>When completed or billed. Secure evidence reference Binds performed work</t>
        </is>
      </c>
    </row>
    <row r="36">
      <c r="A36" s="2" t="inlineStr">
        <is>
          <t>Billing_Status</t>
        </is>
      </c>
      <c r="B36" s="2" t="inlineStr">
        <is>
          <t>Yes</t>
        </is>
      </c>
      <c r="C36" s="2" t="inlineStr">
        <is>
          <t>text</t>
        </is>
      </c>
      <c r="D36" s="2" t="inlineStr">
        <is>
          <t>NOT_READY; READY; INVOICED; PARTIALLY_PAID; PAID; DISPUTED; CREDITED</t>
        </is>
      </c>
    </row>
    <row r="37">
      <c r="A37" s="2" t="inlineStr">
        <is>
          <t>Invoice_Ref</t>
        </is>
      </c>
      <c r="B37" s="2" t="inlineStr">
        <is>
          <t>Conditional or optional</t>
        </is>
      </c>
      <c r="C37" s="2" t="inlineStr">
        <is>
          <t>text</t>
        </is>
      </c>
      <c r="D37" s="2" t="inlineStr">
        <is>
          <t>When invoice is actually issued. Accounting-system reference Binds actual invoice</t>
        </is>
      </c>
    </row>
    <row r="38">
      <c r="A38" s="2" t="inlineStr">
        <is>
          <t>Days_Pending_Decision</t>
        </is>
      </c>
      <c r="B38" s="2" t="inlineStr">
        <is>
          <t>Conditional or optional</t>
        </is>
      </c>
      <c r="C38" s="2" t="inlineStr">
        <is>
          <t>integer</t>
        </is>
      </c>
      <c r="D38" s="2" t="inlineStr">
        <is>
          <t>Calculated and locked: =IF(AND([@[Approval_State]]="REQUESTED",[@[Proposal_Issued_Date]]&lt;&gt;"",[@[Control_Date]]&lt;&gt;""),MAX(0,[@[Control_Date]]-[@[Proposal_Issued_Date]]),0)</t>
        </is>
      </c>
    </row>
    <row r="39">
      <c r="A39" s="2" t="inlineStr">
        <is>
          <t>Unbilled_Approved_Value</t>
        </is>
      </c>
      <c r="B39" s="2" t="inlineStr">
        <is>
          <t>Conditional or optional</t>
        </is>
      </c>
      <c r="C39" s="2" t="inlineStr">
        <is>
          <t>currency</t>
        </is>
      </c>
      <c r="D39" s="2" t="inlineStr">
        <is>
          <t>Calculated and locked: =IF(AND([@[Approval_State]]="APPROVED",OR([@[Change_Status]]="APPROVED",[@[Change_Status]]="SCHEDULED",[@[Change_Status]]="COMPLETED",[@[Change_Status]]="BILLED"),OR([@[Billing_Status]]="NOT_READY",[@[Billing_Status]]="READY"),[@[Total_Change]]&lt;&gt;""),[@[Total_Change]],0)</t>
        </is>
      </c>
    </row>
    <row r="40">
      <c r="A40" s="2" t="inlineStr">
        <is>
          <t>Control_Flag</t>
        </is>
      </c>
      <c r="B40" s="2" t="inlineStr">
        <is>
          <t>Conditional or optional</t>
        </is>
      </c>
      <c r="C40" s="2" t="inlineStr">
        <is>
          <t>text</t>
        </is>
      </c>
      <c r="D40" s="2" t="inlineStr">
        <is>
          <t>Calculated and locked: =IF(OR([@[Project_ID]]="",[@[Change_Order_ID]]="",[@[Revision]]="",[@[Revision]]&lt;1,[@[Date_Identified]]="",[@[Control_Date]]="",[@[Date_Identified]]&gt;[@[Control_Date]],[@[Requested_By]]="",[@[Safety_Class]]="",[@[Observed_Condition]]="",[@[Original_Scope_Ref]]="",[@[Change_Status]]="",[@[Schedule_Impact_State]]="",[@[Approval_State]]="",[@[Billing_Status]]="",[@[Owner]]="",AND(OR([@[Change_Status]]="PENDING_CUSTOMER",[@[Change_Status]]="APPROVED",[@[Change_Status]]="DECLINED",[@[Change_Status]]="SCHEDULED",[@[Change_Status]]="COMPLETED",[@[Change_Status]]="BILLED"),OR([@[Proposed_Change]]="",[@[Cost_Impact_PreTax]]="",[@[Tax_Impact]]="",[@[Proposal_Ref]]="",[@[Proposal_Issued_Date]]="",[@[Proposal_Issued_Date]]&lt;[@[Date_Identified]],[@[Proposal_Issued_Date]]&gt;[@[Control_Date]])),AND([@[Approval_State]]="REQUESTED",OR([@[Proposal_Ref]]="",[@[Proposal_Issued_Date]]="")),AND(OR([@[Approval_State]]="APPROVED",[@[Approval_State]]="DECLINED",[@[Approval_State]]="EXPIRED",[@[Approval_State]]="DISPUTED"),OR([@[Decision_Date]]="",[@[Decision_Date]]&gt;[@[Control_Date]],[@[Decision_Evidence_Ref]]="")),AND([@[Approval_State]]="APPROVED",[@[Authorized_By]]=""),AND(OR([@[Change_Status]]="COMPLETED",[@[Change_Status]]="BILLED"),OR([@[Work_Completed_Date]]="",[@[Work_Completed_Date]]&gt;[@[Control_Date]],[@[Completion_Evidence_Ref]]="")),AND(OR([@[Billing_Status]]="INVOICED",[@[Billing_Status]]="PARTIALLY_PAID",[@[Billing_Status]]="PAID",[@[Billing_Status]]="DISPUTED",[@[Billing_Status]]="CREDITED"),[@[Invoice_Ref]]="")),"REVIEW",IF(AND(OR([@[Change_Status]]="APPROVED",[@[Change_Status]]="SCHEDULED",[@[Change_Status]]="COMPLETED",[@[Change_Status]]="BILLED"),NOT(OR(AND([@[Approval_State]]="APPROVED",[@[Decision_Evidence_Ref]]&lt;&gt;"",[@[Authorized_By]]&lt;&gt;""),AND([@[Safety_Class]]="EMERGENCY_MAKE_SAFE",[@[Approval_State]]="NOT_APPLICABLE",[@[Decision_Evidence_Ref]]&lt;&gt;"",[@[Authorized_By]]&lt;&gt;"")))),"HOLD","COMPLETE"))</t>
        </is>
      </c>
    </row>
    <row r="41">
      <c r="A41" s="2" t="inlineStr">
        <is>
          <t>Owner</t>
        </is>
      </c>
      <c r="B41" s="2" t="inlineStr">
        <is>
          <t>Yes</t>
        </is>
      </c>
      <c r="C41" s="2" t="inlineStr">
        <is>
          <t>text</t>
        </is>
      </c>
      <c r="D41" s="2" t="inlineStr">
        <is>
          <t>Always. One accountable internal owner Prevents unowned changes</t>
        </is>
      </c>
    </row>
    <row r="42">
      <c r="A42" s="2" t="inlineStr">
        <is>
          <t>Notes</t>
        </is>
      </c>
      <c r="B42" s="2" t="inlineStr">
        <is>
          <t>Conditional or optional</t>
        </is>
      </c>
      <c r="C42" s="2" t="inlineStr">
        <is>
          <t>text</t>
        </is>
      </c>
      <c r="D42" s="2" t="inlineStr">
        <is>
          <t>Optional. Facts assumptions and exceptions only Adds bounded context</t>
        </is>
      </c>
    </row>
  </sheetData>
  <mergeCells count="2">
    <mergeCell ref="A1:D1"/>
    <mergeCell ref="A2:D2"/>
  </mergeCells>
  <pageMargins left="0.25" right="0.25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7" customWidth="1"/>
    <col min="3" max="3" width="13" customWidth="1"/>
    <col min="4" max="4" width="17" customWidth="1"/>
    <col min="5" max="5" width="14" customWidth="1"/>
    <col min="6" max="6" width="14" customWidth="1"/>
    <col min="7" max="7" width="14" customWidth="1"/>
    <col min="8" max="8" width="20" customWidth="1"/>
    <col min="9" max="9" width="20" customWidth="1"/>
    <col min="10" max="10" width="17" customWidth="1"/>
    <col min="11" max="11" width="15" customWidth="1"/>
    <col min="12" max="12" width="20" customWidth="1"/>
    <col min="13" max="13" width="13" customWidth="1"/>
    <col min="14" max="14" width="14" customWidth="1"/>
    <col min="15" max="15" width="22" customWidth="1"/>
    <col min="16" max="16" width="23" customWidth="1"/>
    <col min="17" max="17" width="14" customWidth="1"/>
    <col min="18" max="18" width="22" customWidth="1"/>
    <col min="19" max="19" width="16" customWidth="1"/>
    <col min="20" max="20" width="15" customWidth="1"/>
    <col min="21" max="21" width="23" customWidth="1"/>
    <col min="22" max="22" width="15" customWidth="1"/>
    <col min="23" max="23" width="21" customWidth="1"/>
    <col min="24" max="24" width="25" customWidth="1"/>
    <col min="25" max="25" width="16" customWidth="1"/>
    <col min="26" max="26" width="13" customWidth="1"/>
    <col min="27" max="27" width="23" customWidth="1"/>
    <col min="28" max="28" width="25" customWidth="1"/>
    <col min="29" max="29" width="14" customWidth="1"/>
    <col min="30" max="30" width="13" customWidth="1"/>
    <col min="31" max="31" width="13" customWidth="1"/>
  </cols>
  <sheetData>
    <row r="1" ht="24" customHeight="1">
      <c r="A1" s="3" t="inlineStr">
        <is>
          <t>Project_ID</t>
        </is>
      </c>
      <c r="B1" s="3" t="inlineStr">
        <is>
          <t>Change_Order_ID</t>
        </is>
      </c>
      <c r="C1" s="3" t="inlineStr">
        <is>
          <t>Revision</t>
        </is>
      </c>
      <c r="D1" s="3" t="inlineStr">
        <is>
          <t>Date_Identified</t>
        </is>
      </c>
      <c r="E1" s="3" t="inlineStr">
        <is>
          <t>Control_Date</t>
        </is>
      </c>
      <c r="F1" s="3" t="inlineStr">
        <is>
          <t>Requested_By</t>
        </is>
      </c>
      <c r="G1" s="3" t="inlineStr">
        <is>
          <t>Safety_Class</t>
        </is>
      </c>
      <c r="H1" s="3" t="inlineStr">
        <is>
          <t>Observed_Condition</t>
        </is>
      </c>
      <c r="I1" s="3" t="inlineStr">
        <is>
          <t>Original_Scope_Ref</t>
        </is>
      </c>
      <c r="J1" s="3" t="inlineStr">
        <is>
          <t>Proposed_Change</t>
        </is>
      </c>
      <c r="K1" s="3" t="inlineStr">
        <is>
          <t>Change_Status</t>
        </is>
      </c>
      <c r="L1" s="3" t="inlineStr">
        <is>
          <t>Cost_Impact_PreTax</t>
        </is>
      </c>
      <c r="M1" s="3" t="inlineStr">
        <is>
          <t>Tax_Impact</t>
        </is>
      </c>
      <c r="N1" s="3" t="inlineStr">
        <is>
          <t>Total_Change</t>
        </is>
      </c>
      <c r="O1" s="3" t="inlineStr">
        <is>
          <t>Schedule_Impact_Days</t>
        </is>
      </c>
      <c r="P1" s="3" t="inlineStr">
        <is>
          <t>Schedule_Impact_State</t>
        </is>
      </c>
      <c r="Q1" s="3" t="inlineStr">
        <is>
          <t>Proposal_Ref</t>
        </is>
      </c>
      <c r="R1" s="3" t="inlineStr">
        <is>
          <t>Proposal_Issued_Date</t>
        </is>
      </c>
      <c r="S1" s="3" t="inlineStr">
        <is>
          <t>Approval_State</t>
        </is>
      </c>
      <c r="T1" s="3" t="inlineStr">
        <is>
          <t>Decision_Date</t>
        </is>
      </c>
      <c r="U1" s="3" t="inlineStr">
        <is>
          <t>Decision_Evidence_Ref</t>
        </is>
      </c>
      <c r="V1" s="3" t="inlineStr">
        <is>
          <t>Authorized_By</t>
        </is>
      </c>
      <c r="W1" s="3" t="inlineStr">
        <is>
          <t>Work_Completed_Date</t>
        </is>
      </c>
      <c r="X1" s="3" t="inlineStr">
        <is>
          <t>Completion_Evidence_Ref</t>
        </is>
      </c>
      <c r="Y1" s="3" t="inlineStr">
        <is>
          <t>Billing_Status</t>
        </is>
      </c>
      <c r="Z1" s="3" t="inlineStr">
        <is>
          <t>Invoice_Ref</t>
        </is>
      </c>
      <c r="AA1" s="3" t="inlineStr">
        <is>
          <t>Days_Pending_Decision</t>
        </is>
      </c>
      <c r="AB1" s="3" t="inlineStr">
        <is>
          <t>Unbilled_Approved_Value</t>
        </is>
      </c>
      <c r="AC1" s="3" t="inlineStr">
        <is>
          <t>Control_Flag</t>
        </is>
      </c>
      <c r="AD1" s="3" t="inlineStr">
        <is>
          <t>Owner</t>
        </is>
      </c>
      <c r="AE1" s="3" t="inlineStr">
        <is>
          <t>Notes</t>
        </is>
      </c>
    </row>
    <row r="2">
      <c r="A2" s="4"/>
      <c r="B2" s="4"/>
      <c r="C2" s="9"/>
      <c r="D2" s="5"/>
      <c r="E2" s="5"/>
      <c r="F2" s="4"/>
      <c r="G2" s="4"/>
      <c r="H2" s="4"/>
      <c r="I2" s="4"/>
      <c r="J2" s="4"/>
      <c r="K2" s="4"/>
      <c r="L2" s="7"/>
      <c r="M2" s="7"/>
      <c r="N2" s="14">
        <f>IF(OR(ChangeOrders[[#This Row],[Cost_Impact_PreTax]]="",ChangeOrders[[#This Row],[Tax_Impact]]=""),"",ChangeOrders[[#This Row],[Cost_Impact_PreTax]]+ChangeOrders[[#This Row],[Tax_Impact]])</f>
      </c>
      <c r="O2" s="9"/>
      <c r="P2" s="4"/>
      <c r="Q2" s="4"/>
      <c r="R2" s="5"/>
      <c r="S2" s="4"/>
      <c r="T2" s="5"/>
      <c r="U2" s="4"/>
      <c r="V2" s="4"/>
      <c r="W2" s="5"/>
      <c r="X2" s="4"/>
      <c r="Y2" s="4"/>
      <c r="Z2" s="4"/>
      <c r="AA2" s="16">
        <f>IF(AND(ChangeOrders[[#This Row],[Approval_State]]="REQUESTED",ChangeOrders[[#This Row],[Proposal_Issued_Date]]&lt;&gt;"",ChangeOrders[[#This Row],[Control_Date]]&lt;&gt;""),MAX(0,ChangeOrders[[#This Row],[Control_Date]]-ChangeOrders[[#This Row],[Proposal_Issued_Date]]),0)</f>
      </c>
      <c r="AB2" s="14">
        <f>IF(AND(ChangeOrders[[#This Row],[Approval_State]]="APPROVED",OR(ChangeOrders[[#This Row],[Change_Status]]="APPROVED",ChangeOrders[[#This Row],[Change_Status]]="SCHEDULED",ChangeOrders[[#This Row],[Change_Status]]="COMPLETED",ChangeOrders[[#This Row],[Change_Status]]="BILLED"),OR(ChangeOrders[[#This Row],[Billing_Status]]="NOT_READY",ChangeOrders[[#This Row],[Billing_Status]]="READY"),ChangeOrders[[#This Row],[Total_Change]]&lt;&gt;""),ChangeOrders[[#This Row],[Total_Change]],0)</f>
      </c>
      <c r="AC2" s="11">
        <f>IF(OR(ChangeOrders[[#This Row],[Project_ID]]="",ChangeOrders[[#This Row],[Change_Order_ID]]="",ChangeOrders[[#This Row],[Revision]]="",ChangeOrders[[#This Row],[Revision]]&lt;1,ChangeOrders[[#This Row],[Date_Identified]]="",ChangeOrders[[#This Row],[Control_Date]]="",ChangeOrders[[#This Row],[Date_Identified]]&gt;ChangeOrders[[#This Row],[Control_Date]],ChangeOrders[[#This Row],[Requested_By]]="",ChangeOrders[[#This Row],[Safety_Class]]="",ChangeOrders[[#This Row],[Observed_Condition]]="",ChangeOrders[[#This Row],[Original_Scope_Ref]]="",ChangeOrders[[#This Row],[Change_Status]]="",ChangeOrders[[#This Row],[Schedule_Impact_State]]="",ChangeOrders[[#This Row],[Approval_State]]="",ChangeOrders[[#This Row],[Billing_Status]]="",ChangeOrders[[#This Row],[Owner]]="",AND(OR(ChangeOrders[[#This Row],[Change_Status]]="PENDING_CUSTOMER",ChangeOrders[[#This Row],[Change_Status]]="APPROVED",ChangeOrders[[#This Row],[Change_Status]]="DECLINED",ChangeOrders[[#This Row],[Change_Status]]="SCHEDULED",ChangeOrders[[#This Row],[Change_Status]]="COMPLETED",ChangeOrders[[#This Row],[Change_Status]]="BILLED"),OR(ChangeOrders[[#This Row],[Proposed_Change]]="",ChangeOrders[[#This Row],[Cost_Impact_PreTax]]="",ChangeOrders[[#This Row],[Tax_Impact]]="",ChangeOrders[[#This Row],[Proposal_Ref]]="",ChangeOrders[[#This Row],[Proposal_Issued_Date]]="",ChangeOrders[[#This Row],[Proposal_Issued_Date]]&lt;ChangeOrders[[#This Row],[Date_Identified]],ChangeOrders[[#This Row],[Proposal_Issued_Date]]&gt;ChangeOrders[[#This Row],[Control_Date]])),AND(ChangeOrders[[#This Row],[Approval_State]]="REQUESTED",OR(ChangeOrders[[#This Row],[Proposal_Ref]]="",ChangeOrders[[#This Row],[Proposal_Issued_Date]]="")),AND(OR(ChangeOrders[[#This Row],[Approval_State]]="APPROVED",ChangeOrders[[#This Row],[Approval_State]]="DECLINED",ChangeOrders[[#This Row],[Approval_State]]="EXPIRED",ChangeOrders[[#This Row],[Approval_State]]="DISPUTED"),OR(ChangeOrders[[#This Row],[Decision_Date]]="",ChangeOrders[[#This Row],[Decision_Date]]&gt;ChangeOrders[[#This Row],[Control_Date]],ChangeOrders[[#This Row],[Decision_Evidence_Ref]]="")),AND(ChangeOrders[[#This Row],[Approval_State]]="APPROVED",ChangeOrders[[#This Row],[Authorized_By]]=""),AND(OR(ChangeOrders[[#This Row],[Change_Status]]="COMPLETED",ChangeOrders[[#This Row],[Change_Status]]="BILLED"),OR(ChangeOrders[[#This Row],[Work_Completed_Date]]="",ChangeOrders[[#This Row],[Work_Completed_Date]]&gt;ChangeOrders[[#This Row],[Control_Date]],ChangeOrders[[#This Row],[Completion_Evidence_Ref]]="")),AND(OR(ChangeOrders[[#This Row],[Billing_Status]]="INVOICED",ChangeOrders[[#This Row],[Billing_Status]]="PARTIALLY_PAID",ChangeOrders[[#This Row],[Billing_Status]]="PAID",ChangeOrders[[#This Row],[Billing_Status]]="DISPUTED",ChangeOrders[[#This Row],[Billing_Status]]="CREDITED"),ChangeOrders[[#This Row],[Invoice_Ref]]="")),"REVIEW",IF(AND(OR(ChangeOrders[[#This Row],[Change_Status]]="APPROVED",ChangeOrders[[#This Row],[Change_Status]]="SCHEDULED",ChangeOrders[[#This Row],[Change_Status]]="COMPLETED",ChangeOrders[[#This Row],[Change_Status]]="BILLED"),NOT(OR(AND(ChangeOrders[[#This Row],[Approval_State]]="APPROVED",ChangeOrders[[#This Row],[Decision_Evidence_Ref]]&lt;&gt;"",ChangeOrders[[#This Row],[Authorized_By]]&lt;&gt;""),AND(ChangeOrders[[#This Row],[Safety_Class]]="EMERGENCY_MAKE_SAFE",ChangeOrders[[#This Row],[Approval_State]]="NOT_APPLICABLE",ChangeOrders[[#This Row],[Decision_Evidence_Ref]]&lt;&gt;"",ChangeOrders[[#This Row],[Authorized_By]]&lt;&gt;"")))),"HOLD","COMPLETE"))</f>
      </c>
      <c r="AD2" s="4"/>
      <c r="AE2" s="4"/>
    </row>
  </sheetData>
  <sheetProtection sheet="1" objects="1" scenarios="1" formatCells="1" formatColumns="1" formatRows="1" insertColumns="1" insertRows="0" insertHyperlinks="1" deleteColumns="1" deleteRows="1" selectLockedCells="1" sort="0" autoFilter="0" pivotTables="1" selectUnlockedCells="0"/>
  <dataValidations count="27">
    <dataValidation type="custom" allowBlank="0" showInputMessage="1" showErrorMessage="1" errorStyle="stop" sqref="A2:A1048576" errorTitle="Unsafe text value" error="Enter text that does not begin with =, +, -, or @." promptTitle="Verified text" prompt="Paste values only; formula-leading text is rejected.">
      <formula1>AND(LEN(TRIM(A2))&gt;0,NOT(OR(LEFT(A2,1)="=",LEFT(A2,1)="+",LEFT(A2,1)="-",LEFT(A2,1)="@")))</formula1>
    </dataValidation>
    <dataValidation type="custom" allowBlank="0" showInputMessage="1" showErrorMessage="1" errorStyle="stop" sqref="B2:B1048576" errorTitle="Unsafe text value" error="Enter text that does not begin with =, +, -, or @." promptTitle="Verified text" prompt="Paste values only; formula-leading text is rejected.">
      <formula1>AND(LEN(TRIM(B2))&gt;0,NOT(OR(LEFT(B2,1)="=",LEFT(B2,1)="+",LEFT(B2,1)="-",LEFT(B2,1)="@")))</formula1>
    </dataValidation>
    <dataValidation type="whole" operator="between" allowBlank="0" showInputMessage="1" showErrorMessage="1" errorStyle="stop" sqref="C2:C1048576" errorTitle="Invalid whole number" error="Enter a whole number." promptTitle="Whole number" prompt="Enter a verified whole number.">
      <formula1>-9007199254740991</formula1>
      <formula2>9007199254740991</formula2>
    </dataValidation>
    <dataValidation type="date" operator="between" allowBlank="0" showInputMessage="1" showErrorMessage="1" errorStyle="stop" sqref="D2:D1048576" errorTitle="Invalid date" error="Enter a valid Excel date." promptTitle="Date" prompt="Enter a verified date.">
      <formula1>1</formula1>
      <formula2>2958465</formula2>
    </dataValidation>
    <dataValidation type="date" operator="between" allowBlank="0" showInputMessage="1" showErrorMessage="1" errorStyle="stop" sqref="E2:E1048576" errorTitle="Invalid date" error="Enter a valid Excel date." promptTitle="Date" prompt="Enter a verified date.">
      <formula1>1</formula1>
      <formula2>2958465</formula2>
    </dataValidation>
    <dataValidation type="list" allowBlank="0" showInputMessage="1" showErrorMessage="1" errorStyle="stop" sqref="F2:F1048576" errorTitle="Invalid value" error="Choose a value from the controlled list." promptTitle="Controlled field" prompt="Choose a listed value; do not invent a new status.">
      <formula1>_dv_6</formula1>
    </dataValidation>
    <dataValidation type="list" allowBlank="0" showInputMessage="1" showErrorMessage="1" errorStyle="stop" sqref="G2:G1048576" errorTitle="Invalid value" error="Choose a value from the controlled list." promptTitle="Controlled field" prompt="Choose a listed value; do not invent a new status.">
      <formula1>_dv_7</formula1>
    </dataValidation>
    <dataValidation type="custom" allowBlank="0" showInputMessage="1" showErrorMessage="1" errorStyle="stop" sqref="H2:H1048576" errorTitle="Unsafe text value" error="Enter text that does not begin with =, +, -, or @." promptTitle="Verified text" prompt="Paste values only; formula-leading text is rejected.">
      <formula1>AND(LEN(TRIM(H2))&gt;0,NOT(OR(LEFT(H2,1)="=",LEFT(H2,1)="+",LEFT(H2,1)="-",LEFT(H2,1)="@")))</formula1>
    </dataValidation>
    <dataValidation type="custom" allowBlank="0" showInputMessage="1" showErrorMessage="1" errorStyle="stop" sqref="I2:I1048576" errorTitle="Unsafe text value" error="Enter text that does not begin with =, +, -, or @." promptTitle="Verified text" prompt="Paste values only; formula-leading text is rejected.">
      <formula1>AND(LEN(TRIM(I2))&gt;0,NOT(OR(LEFT(I2,1)="=",LEFT(I2,1)="+",LEFT(I2,1)="-",LEFT(I2,1)="@")))</formula1>
    </dataValidation>
    <dataValidation type="custom" allowBlank="1" showInputMessage="1" showErrorMessage="1" errorStyle="stop" sqref="J2:J1048576" errorTitle="Unsafe text value" error="Enter text that does not begin with =, +, -, or @." promptTitle="Verified text" prompt="Paste values only; formula-leading text is rejected.">
      <formula1>OR(J2="",AND(LEN(TRIM(J2))&gt;0,NOT(OR(LEFT(J2,1)="=",LEFT(J2,1)="+",LEFT(J2,1)="-",LEFT(J2,1)="@"))))</formula1>
    </dataValidation>
    <dataValidation type="list" allowBlank="0" showInputMessage="1" showErrorMessage="1" errorStyle="stop" sqref="K2:K1048576" errorTitle="Invalid value" error="Choose a value from the controlled list." promptTitle="Controlled field" prompt="Choose a listed value; do not invent a new status.">
      <formula1>_dv_11</formula1>
    </dataValidation>
    <dataValidation type="decimal" operator="between" allowBlank="1" showInputMessage="1" showErrorMessage="1" errorStyle="stop" sqref="L2:L1048576" errorTitle="Invalid number" error="Enter a numeric value." promptTitle="Number" prompt="Enter a verified numeric value.">
      <formula1>-1E+307</formula1>
      <formula2>1E+307</formula2>
    </dataValidation>
    <dataValidation type="decimal" operator="between" allowBlank="1" showInputMessage="1" showErrorMessage="1" errorStyle="stop" sqref="M2:M1048576" errorTitle="Invalid number" error="Enter a numeric value." promptTitle="Number" prompt="Enter a verified numeric value.">
      <formula1>-1E+307</formula1>
      <formula2>1E+307</formula2>
    </dataValidation>
    <dataValidation type="whole" operator="between" allowBlank="1" showInputMessage="1" showErrorMessage="1" errorStyle="stop" sqref="O2:O1048576" errorTitle="Invalid whole number" error="Enter a whole number." promptTitle="Whole number" prompt="Enter a verified whole number.">
      <formula1>-9007199254740991</formula1>
      <formula2>9007199254740991</formula2>
    </dataValidation>
    <dataValidation type="list" allowBlank="0" showInputMessage="1" showErrorMessage="1" errorStyle="stop" sqref="P2:P1048576" errorTitle="Invalid value" error="Choose a value from the controlled list." promptTitle="Controlled field" prompt="Choose a listed value; do not invent a new status.">
      <formula1>_dv_16</formula1>
    </dataValidation>
    <dataValidation type="custom" allowBlank="1" showInputMessage="1" showErrorMessage="1" errorStyle="stop" sqref="Q2:Q1048576" errorTitle="Unsafe text value" error="Enter text that does not begin with =, +, -, or @." promptTitle="Verified text" prompt="Paste values only; formula-leading text is rejected.">
      <formula1>OR(Q2="",AND(LEN(TRIM(Q2))&gt;0,NOT(OR(LEFT(Q2,1)="=",LEFT(Q2,1)="+",LEFT(Q2,1)="-",LEFT(Q2,1)="@"))))</formula1>
    </dataValidation>
    <dataValidation type="date" operator="between" allowBlank="1" showInputMessage="1" showErrorMessage="1" errorStyle="stop" sqref="R2:R1048576" errorTitle="Invalid date" error="Enter a valid Excel date." promptTitle="Date" prompt="Enter a verified date.">
      <formula1>1</formula1>
      <formula2>2958465</formula2>
    </dataValidation>
    <dataValidation type="list" allowBlank="0" showInputMessage="1" showErrorMessage="1" errorStyle="stop" sqref="S2:S1048576" errorTitle="Invalid value" error="Choose a value from the controlled list." promptTitle="Controlled field" prompt="Choose a listed value; do not invent a new status.">
      <formula1>_dv_19</formula1>
    </dataValidation>
    <dataValidation type="date" operator="between" allowBlank="1" showInputMessage="1" showErrorMessage="1" errorStyle="stop" sqref="T2:T1048576" errorTitle="Invalid date" error="Enter a valid Excel date." promptTitle="Date" prompt="Enter a verified date.">
      <formula1>1</formula1>
      <formula2>2958465</formula2>
    </dataValidation>
    <dataValidation type="custom" allowBlank="1" showInputMessage="1" showErrorMessage="1" errorStyle="stop" sqref="U2:U1048576" errorTitle="Unsafe text value" error="Enter text that does not begin with =, +, -, or @." promptTitle="Verified text" prompt="Paste values only; formula-leading text is rejected.">
      <formula1>OR(U2="",AND(LEN(TRIM(U2))&gt;0,NOT(OR(LEFT(U2,1)="=",LEFT(U2,1)="+",LEFT(U2,1)="-",LEFT(U2,1)="@"))))</formula1>
    </dataValidation>
    <dataValidation type="custom" allowBlank="1" showInputMessage="1" showErrorMessage="1" errorStyle="stop" sqref="V2:V1048576" errorTitle="Unsafe text value" error="Enter text that does not begin with =, +, -, or @." promptTitle="Verified text" prompt="Paste values only; formula-leading text is rejected.">
      <formula1>OR(V2="",AND(LEN(TRIM(V2))&gt;0,NOT(OR(LEFT(V2,1)="=",LEFT(V2,1)="+",LEFT(V2,1)="-",LEFT(V2,1)="@"))))</formula1>
    </dataValidation>
    <dataValidation type="date" operator="between" allowBlank="1" showInputMessage="1" showErrorMessage="1" errorStyle="stop" sqref="W2:W1048576" errorTitle="Invalid date" error="Enter a valid Excel date." promptTitle="Date" prompt="Enter a verified date.">
      <formula1>1</formula1>
      <formula2>2958465</formula2>
    </dataValidation>
    <dataValidation type="custom" allowBlank="1" showInputMessage="1" showErrorMessage="1" errorStyle="stop" sqref="X2:X1048576" errorTitle="Unsafe text value" error="Enter text that does not begin with =, +, -, or @." promptTitle="Verified text" prompt="Paste values only; formula-leading text is rejected.">
      <formula1>OR(X2="",AND(LEN(TRIM(X2))&gt;0,NOT(OR(LEFT(X2,1)="=",LEFT(X2,1)="+",LEFT(X2,1)="-",LEFT(X2,1)="@"))))</formula1>
    </dataValidation>
    <dataValidation type="list" allowBlank="0" showInputMessage="1" showErrorMessage="1" errorStyle="stop" sqref="Y2:Y1048576" errorTitle="Invalid value" error="Choose a value from the controlled list." promptTitle="Controlled field" prompt="Choose a listed value; do not invent a new status.">
      <formula1>_dv_25</formula1>
    </dataValidation>
    <dataValidation type="custom" allowBlank="1" showInputMessage="1" showErrorMessage="1" errorStyle="stop" sqref="Z2:Z1048576" errorTitle="Unsafe text value" error="Enter text that does not begin with =, +, -, or @." promptTitle="Verified text" prompt="Paste values only; formula-leading text is rejected.">
      <formula1>OR(Z2="",AND(LEN(TRIM(Z2))&gt;0,NOT(OR(LEFT(Z2,1)="=",LEFT(Z2,1)="+",LEFT(Z2,1)="-",LEFT(Z2,1)="@"))))</formula1>
    </dataValidation>
    <dataValidation type="custom" allowBlank="0" showInputMessage="1" showErrorMessage="1" errorStyle="stop" sqref="AD2:AD1048576" errorTitle="Unsafe text value" error="Enter text that does not begin with =, +, -, or @." promptTitle="Verified text" prompt="Paste values only; formula-leading text is rejected.">
      <formula1>AND(LEN(TRIM(AD2))&gt;0,NOT(OR(LEFT(AD2,1)="=",LEFT(AD2,1)="+",LEFT(AD2,1)="-",LEFT(AD2,1)="@")))</formula1>
    </dataValidation>
    <dataValidation type="custom" allowBlank="1" showInputMessage="1" showErrorMessage="1" errorStyle="stop" sqref="AE2:AE1048576" errorTitle="Unsafe text value" error="Enter text that does not begin with =, +, -, or @." promptTitle="Verified text" prompt="Paste values only; formula-leading text is rejected.">
      <formula1>OR(AE2="",AND(LEN(TRIM(AE2))&gt;0,NOT(OR(LEFT(AE2,1)="=",LEFT(AE2,1)="+",LEFT(AE2,1)="-",LEFT(AE2,1)="@"))))</formula1>
    </dataValidation>
  </dataValidations>
  <pageMargins left="0.25" right="0.25" top="0.5" bottom="0.5" header="0.2" footer="0.2"/>
  <tableParts count="1">
    <tablePart r:id="rId1"/>
  </tableParts>
</worksheet>
</file>

<file path=xl/worksheets/sheet3.xml><?xml version="1.0" encoding="utf-8"?>
<worksheet xmlns="http://schemas.openxmlformats.org/spreadsheetml/2006/main">
  <dimension ref="A1:F10"/>
  <sheetViews>
    <sheetView workbookViewId="0"/>
  </sheetViews>
  <sheetFormatPr defaultRowHeight="15"/>
  <sheetData>
    <row r="1">
      <c r="A1" t="inlineStr">
        <is>
          <t>CUSTOMER</t>
        </is>
      </c>
      <c r="B1" t="inlineStr">
        <is>
          <t>ROUTINE</t>
        </is>
      </c>
      <c r="C1" t="inlineStr">
        <is>
          <t>IDENTIFIED</t>
        </is>
      </c>
      <c r="D1" t="inlineStr">
        <is>
          <t>UNKNOWN</t>
        </is>
      </c>
      <c r="E1" t="inlineStr">
        <is>
          <t>NOT_REQUESTED</t>
        </is>
      </c>
      <c r="F1" t="inlineStr">
        <is>
          <t>NOT_READY</t>
        </is>
      </c>
    </row>
    <row r="2">
      <c r="A2" t="inlineStr">
        <is>
          <t>CONTRACTOR</t>
        </is>
      </c>
      <c r="B2" t="inlineStr">
        <is>
          <t>SAFETY_HOLD</t>
        </is>
      </c>
      <c r="C2" t="inlineStr">
        <is>
          <t>PRICING</t>
        </is>
      </c>
      <c r="D2" t="inlineStr">
        <is>
          <t>ESTIMATED</t>
        </is>
      </c>
      <c r="E2" t="inlineStr">
        <is>
          <t>REQUESTED</t>
        </is>
      </c>
      <c r="F2" t="inlineStr">
        <is>
          <t>READY</t>
        </is>
      </c>
    </row>
    <row r="3">
      <c r="A3" t="inlineStr">
        <is>
          <t>DESIGNER</t>
        </is>
      </c>
      <c r="B3" t="inlineStr">
        <is>
          <t>EMERGENCY_MAKE_SAFE</t>
        </is>
      </c>
      <c r="C3" t="inlineStr">
        <is>
          <t>PENDING_CUSTOMER</t>
        </is>
      </c>
      <c r="D3" t="inlineStr">
        <is>
          <t>VERIFIED</t>
        </is>
      </c>
      <c r="E3" t="inlineStr">
        <is>
          <t>APPROVED</t>
        </is>
      </c>
      <c r="F3" t="inlineStr">
        <is>
          <t>INVOICED</t>
        </is>
      </c>
    </row>
    <row r="4">
      <c r="A4" t="inlineStr">
        <is>
          <t>AUTHORITY</t>
        </is>
      </c>
      <c r="C4" t="inlineStr">
        <is>
          <t>APPROVED</t>
        </is>
      </c>
      <c r="D4" t="inlineStr">
        <is>
          <t>NOT_APPLICABLE</t>
        </is>
      </c>
      <c r="E4" t="inlineStr">
        <is>
          <t>DECLINED</t>
        </is>
      </c>
      <c r="F4" t="inlineStr">
        <is>
          <t>PARTIALLY_PAID</t>
        </is>
      </c>
    </row>
    <row r="5">
      <c r="A5" t="inlineStr">
        <is>
          <t>SITE_CONDITION</t>
        </is>
      </c>
      <c r="C5" t="inlineStr">
        <is>
          <t>DECLINED</t>
        </is>
      </c>
      <c r="E5" t="inlineStr">
        <is>
          <t>EXPIRED</t>
        </is>
      </c>
      <c r="F5" t="inlineStr">
        <is>
          <t>PAID</t>
        </is>
      </c>
    </row>
    <row r="6">
      <c r="A6" t="inlineStr">
        <is>
          <t>OTHER</t>
        </is>
      </c>
      <c r="C6" t="inlineStr">
        <is>
          <t>ON_HOLD</t>
        </is>
      </c>
      <c r="E6" t="inlineStr">
        <is>
          <t>DISPUTED</t>
        </is>
      </c>
      <c r="F6" t="inlineStr">
        <is>
          <t>DISPUTED</t>
        </is>
      </c>
    </row>
    <row r="7">
      <c r="C7" t="inlineStr">
        <is>
          <t>SCHEDULED</t>
        </is>
      </c>
      <c r="E7" t="inlineStr">
        <is>
          <t>NOT_APPLICABLE</t>
        </is>
      </c>
      <c r="F7" t="inlineStr">
        <is>
          <t>CREDITED</t>
        </is>
      </c>
    </row>
    <row r="8">
      <c r="C8" t="inlineStr">
        <is>
          <t>COMPLETED</t>
        </is>
      </c>
    </row>
    <row r="9">
      <c r="C9" t="inlineStr">
        <is>
          <t>BILLED</t>
        </is>
      </c>
    </row>
    <row r="10">
      <c r="C10" t="inlineStr">
        <is>
          <t>VOID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ENTRAL Phase 204 deterministic XLSX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Change Orders</vt:lpstr>
      <vt:lpstr>_Lists</vt:lpstr>
    </vt:vector>
  </TitlesOfParts>
  <Company>Sovereign Protocol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Scope and Change-Order Control Pack</dc:title>
  <dc:creator>Sovereign Protocol</dc:creator>
  <cp:lastModifiedBy>Sovereign Protocol</cp:lastModifiedBy>
  <dcterms:created xsi:type="dcterms:W3CDTF">2000-01-01T00:00:00Z</dcterms:created>
  <dcterms:modified xsi:type="dcterms:W3CDTF">2000-01-01T00:00:00Z</dcterms:modified>
</cp:coreProperties>
</file>