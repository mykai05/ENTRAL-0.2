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228"/>
  <bookViews>
    <workbookView activeTab="1" firstSheet="0"/>
  </bookViews>
  <sheets>
    <sheet name="Instructions" sheetId="1" r:id="rId1"/>
    <sheet name="Weekly Command" sheetId="2" r:id="rId2"/>
    <sheet name="_Lists" sheetId="3" state="veryHidden" r:id="rId3"/>
  </sheets>
  <definedNames>
    <definedName name="_dv_29" hidden="1">'_Lists'!$A$1:$A$3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-dd hh:mm"/>
    <numFmt numFmtId="166" formatCode="&quot;$&quot;#,##0.00;[Red]-&quot;$&quot;#,##0.00"/>
    <numFmt numFmtId="167" formatCode="0.00%"/>
    <numFmt numFmtId="168" formatCode="0"/>
    <numFmt numFmtId="169" formatCode="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4597A"/>
        <bgColor indexed="64"/>
      </patternFill>
    </fill>
    <fill>
      <patternFill patternType="solid">
        <fgColor rgb="FF3A7596"/>
        <bgColor indexed="64"/>
      </patternFill>
    </fill>
  </fills>
  <borders count="2">
    <border>
      <left/>
      <right/>
      <top/>
      <bottom/>
      <diagonal/>
    </border>
    <border>
      <left style="thin">
        <color rgb="FFD6E0E8"/>
      </left>
      <right style="thin">
        <color rgb="FFD6E0E8"/>
      </right>
      <top style="thin">
        <color rgb="FFD6E0E8"/>
      </top>
      <bottom style="thin">
        <color rgb="FFD6E0E8"/>
      </bottom>
      <diagonal/>
    </border>
  </borders>
  <cellStyleXfs count="1">
    <xf numFmtId="0" fontId="0" fillId="0" borderId="0"/>
  </cellStyleXfs>
  <cellXfs count="19">
    <xf numFmtId="0" fontId="0" fillId="0" borderId="0" xfId="0" applyNumberFormat="1" applyFont="1" applyFill="1" applyBorder="1" applyProtection="1">
      <protection locked="1"/>
    </xf>
    <xf numFmtId="0" fontId="2" fillId="2" borderId="0" xfId="0" applyNumberFormat="1" applyFont="1" applyFill="1" applyBorder="1" applyProtection="1" applyAlignment="1">
      <alignment vertical="center"/>
      <protection locked="1"/>
    </xf>
    <xf numFmtId="0" fontId="0" fillId="0" borderId="0" xfId="0" applyNumberFormat="1" applyFont="1" applyFill="1" applyBorder="1" applyProtection="1" applyAlignment="1">
      <alignment vertical="top" wrapText="1"/>
      <protection locked="1"/>
    </xf>
    <xf numFmtId="0" fontId="1" fillId="3" borderId="1" xfId="0" applyNumberFormat="1" applyFont="1" applyFill="1" applyBorder="1" applyProtection="1" applyAlignment="1">
      <alignment horizontal="center" vertical="center" wrapText="1"/>
      <protection locked="1"/>
    </xf>
    <xf numFmtId="0" fontId="0" fillId="0" borderId="1" xfId="0" applyNumberFormat="1" applyFont="1" applyFill="1" applyBorder="1" applyProtection="1">
      <protection locked="0"/>
    </xf>
    <xf numFmtId="164" fontId="0" fillId="0" borderId="1" xfId="0" applyNumberFormat="1" applyFont="1" applyFill="1" applyBorder="1" applyProtection="1">
      <protection locked="0"/>
    </xf>
    <xf numFmtId="165" fontId="0" fillId="0" borderId="1" xfId="0" applyNumberFormat="1" applyFont="1" applyFill="1" applyBorder="1" applyProtection="1">
      <protection locked="0"/>
    </xf>
    <xf numFmtId="166" fontId="0" fillId="0" borderId="1" xfId="0" applyNumberFormat="1" applyFont="1" applyFill="1" applyBorder="1" applyProtection="1">
      <protection locked="0"/>
    </xf>
    <xf numFmtId="167" fontId="0" fillId="0" borderId="1" xfId="0" applyNumberFormat="1" applyFont="1" applyFill="1" applyBorder="1" applyProtection="1">
      <protection locked="0"/>
    </xf>
    <xf numFmtId="168" fontId="0" fillId="0" borderId="1" xfId="0" applyNumberFormat="1" applyFont="1" applyFill="1" applyBorder="1" applyProtection="1">
      <protection locked="0"/>
    </xf>
    <xf numFmtId="169" fontId="0" fillId="0" borderId="1" xfId="0" applyNumberFormat="1" applyFont="1" applyFill="1" applyBorder="1" applyProtection="1">
      <protection locked="0"/>
    </xf>
    <xf numFmtId="0" fontId="0" fillId="0" borderId="1" xfId="0" applyNumberFormat="1" applyFont="1" applyFill="1" applyBorder="1" applyProtection="1">
      <protection locked="1"/>
    </xf>
    <xf numFmtId="164" fontId="0" fillId="0" borderId="1" xfId="0" applyNumberFormat="1" applyFont="1" applyFill="1" applyBorder="1" applyProtection="1">
      <protection locked="1"/>
    </xf>
    <xf numFmtId="165" fontId="0" fillId="0" borderId="1" xfId="0" applyNumberFormat="1" applyFont="1" applyFill="1" applyBorder="1" applyProtection="1">
      <protection locked="1"/>
    </xf>
    <xf numFmtId="166" fontId="0" fillId="0" borderId="1" xfId="0" applyNumberFormat="1" applyFont="1" applyFill="1" applyBorder="1" applyProtection="1">
      <protection locked="1"/>
    </xf>
    <xf numFmtId="167" fontId="0" fillId="0" borderId="1" xfId="0" applyNumberFormat="1" applyFont="1" applyFill="1" applyBorder="1" applyProtection="1">
      <protection locked="1"/>
    </xf>
    <xf numFmtId="168" fontId="0" fillId="0" borderId="1" xfId="0" applyNumberFormat="1" applyFont="1" applyFill="1" applyBorder="1" applyProtection="1">
      <protection locked="1"/>
    </xf>
    <xf numFmtId="169" fontId="0" fillId="0" borderId="1" xfId="0" applyNumberFormat="1" applyFont="1" applyFill="1" applyBorder="1" applyProtection="1">
      <protection locked="1"/>
    </xf>
    <xf numFmtId="0" fontId="1" fillId="4" borderId="1" xfId="0" applyNumberFormat="1" applyFont="1" applyFill="1" applyBorder="1" applyProtection="1" applyAlignment="1">
      <alignment vertical="center" wrapText="1"/>
      <protection locked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WeeklyCommand" displayName="WeeklyCommand" ref="A1:AG2" headerRowCount="1" totalsRowShown="0">
  <autoFilter ref="A1:AG2"/>
  <tableColumns count="33">
    <tableColumn id="1" name="Week_Start"/>
    <tableColumn id="2" name="Week_End"/>
    <tableColumn id="3" name="Data_As_Of"/>
    <tableColumn id="4" name="Business_Scope"/>
    <tableColumn id="5" name="Currency"/>
    <tableColumn id="6" name="Leads_Received"/>
    <tableColumn id="7" name="Leads_With_First_Response"/>
    <tableColumn id="8" name="Estimates_Issued"/>
    <tableColumn id="9" name="Estimates_Decided"/>
    <tableColumn id="10" name="Estimates_Accepted"/>
    <tableColumn id="11" name="Estimate_Value_Issued"/>
    <tableColumn id="12" name="Approved_Change_Value"/>
    <tableColumn id="13" name="Completed_Unbilled_Change_Value"/>
    <tableColumn id="14" name="Invoices_Issued_Value"/>
    <tableColumn id="15" name="Cash_Received"/>
    <tableColumn id="16" name="Open_AR"/>
    <tableColumn id="17" name="AR_Past_Due"/>
    <tableColumn id="18" name="Credits_And_Refunds"/>
    <tableColumn id="19" name="Active_Projects"/>
    <tableColumn id="20" name="Projects_At_Risk"/>
    <tableColumn id="21" name="Available_Crew_Days_Next_Week"/>
    <tableColumn id="22" name="Committed_Crew_Days_Next_Week"/>
    <tableColumn id="23" name="Owner_Decisions_Open"/>
    <tableColumn id="24" name="Safety_Holds"/>
    <tableColumn id="25" name="Data_Unavailable_Count"/>
    <tableColumn id="26" name="Lead_Response_Coverage">
      <calculatedColumnFormula>IF(OR(WeeklyCommand[[#This Row],[Leads_Received]]="",WeeklyCommand[[#This Row],[Leads_With_First_Response]]="",WeeklyCommand[[#This Row],[Leads_Received]]&lt;=0,WeeklyCommand[[#This Row],[Leads_With_First_Response]]&lt;0,WeeklyCommand[[#This Row],[Leads_With_First_Response]]&gt;WeeklyCommand[[#This Row],[Leads_Received]]),"",WeeklyCommand[[#This Row],[Leads_With_First_Response]]/WeeklyCommand[[#This Row],[Leads_Received]])</calculatedColumnFormula>
    </tableColumn>
    <tableColumn id="27" name="Estimate_Acceptance_Rate">
      <calculatedColumnFormula>IF(OR(WeeklyCommand[[#This Row],[Estimates_Decided]]="",WeeklyCommand[[#This Row],[Estimates_Accepted]]="",WeeklyCommand[[#This Row],[Estimates_Decided]]&lt;=0,WeeklyCommand[[#This Row],[Estimates_Accepted]]&lt;0,WeeklyCommand[[#This Row],[Estimates_Accepted]]&gt;WeeklyCommand[[#This Row],[Estimates_Decided]]),"",WeeklyCommand[[#This Row],[Estimates_Accepted]]/WeeklyCommand[[#This Row],[Estimates_Decided]])</calculatedColumnFormula>
    </tableColumn>
    <tableColumn id="28" name="Capacity_Load">
      <calculatedColumnFormula>IF(OR(WeeklyCommand[[#This Row],[Available_Crew_Days_Next_Week]]="",WeeklyCommand[[#This Row],[Committed_Crew_Days_Next_Week]]="",WeeklyCommand[[#This Row],[Available_Crew_Days_Next_Week]]&lt;=0,WeeklyCommand[[#This Row],[Committed_Crew_Days_Next_Week]]&lt;0),"",WeeklyCommand[[#This Row],[Committed_Crew_Days_Next_Week]]/WeeklyCommand[[#This Row],[Available_Crew_Days_Next_Week]])</calculatedColumnFormula>
    </tableColumn>
    <tableColumn id="29" name="Overall_Status"/>
    <tableColumn id="30" name="Top_Exception"/>
    <tableColumn id="31" name="Next_Owner_Action"/>
    <tableColumn id="32" name="Evidence_Packet_Ref"/>
    <tableColumn id="33" name="Data_Quality_Flag">
      <calculatedColumnFormula>IF(OR(WeeklyCommand[[#This Row],[Week_Start]]="",WeeklyCommand[[#This Row],[Week_End]]="",WeeklyCommand[[#This Row],[Week_End]]&lt;WeeklyCommand[[#This Row],[Week_Start]],WeeklyCommand[[#This Row],[Data_As_Of]]="",WeeklyCommand[[#This Row],[Business_Scope]]="",LEN(WeeklyCommand[[#This Row],[Currency]])&lt;&gt;3,WeeklyCommand[[#This Row],[Leads_Received]]="",WeeklyCommand[[#This Row],[Leads_With_First_Response]]="",WeeklyCommand[[#This Row],[Estimates_Issued]]="",WeeklyCommand[[#This Row],[Estimates_Decided]]="",WeeklyCommand[[#This Row],[Estimates_Accepted]]="",WeeklyCommand[[#This Row],[Estimate_Value_Issued]]="",WeeklyCommand[[#This Row],[Approved_Change_Value]]="",WeeklyCommand[[#This Row],[Completed_Unbilled_Change_Value]]="",WeeklyCommand[[#This Row],[Invoices_Issued_Value]]="",WeeklyCommand[[#This Row],[Cash_Received]]="",WeeklyCommand[[#This Row],[Open_AR]]="",WeeklyCommand[[#This Row],[AR_Past_Due]]="",WeeklyCommand[[#This Row],[Credits_And_Refunds]]="",WeeklyCommand[[#This Row],[Active_Projects]]="",WeeklyCommand[[#This Row],[Projects_At_Risk]]="",WeeklyCommand[[#This Row],[Available_Crew_Days_Next_Week]]="",WeeklyCommand[[#This Row],[Committed_Crew_Days_Next_Week]]="",WeeklyCommand[[#This Row],[Owner_Decisions_Open]]="",WeeklyCommand[[#This Row],[Safety_Holds]]="",WeeklyCommand[[#This Row],[Data_Unavailable_Count]]="",WeeklyCommand[[#This Row],[Overall_Status]]="",WeeklyCommand[[#This Row],[Top_Exception]]="",WeeklyCommand[[#This Row],[Next_Owner_Action]]="",WeeklyCommand[[#This Row],[Evidence_Packet_Ref]]="",MIN(WeeklyCommand[[#This Row],[Leads_Received]],WeeklyCommand[[#This Row],[Leads_With_First_Response]],WeeklyCommand[[#This Row],[Estimates_Issued]],WeeklyCommand[[#This Row],[Estimates_Decided]],WeeklyCommand[[#This Row],[Estimates_Accepted]],WeeklyCommand[[#This Row],[Estimate_Value_Issued]],WeeklyCommand[[#This Row],[Approved_Change_Value]],WeeklyCommand[[#This Row],[Completed_Unbilled_Change_Value]],WeeklyCommand[[#This Row],[Invoices_Issued_Value]],WeeklyCommand[[#This Row],[Cash_Received]],WeeklyCommand[[#This Row],[Open_AR]],WeeklyCommand[[#This Row],[AR_Past_Due]],WeeklyCommand[[#This Row],[Credits_And_Refunds]],WeeklyCommand[[#This Row],[Active_Projects]],WeeklyCommand[[#This Row],[Projects_At_Risk]],WeeklyCommand[[#This Row],[Available_Crew_Days_Next_Week]],WeeklyCommand[[#This Row],[Committed_Crew_Days_Next_Week]],WeeklyCommand[[#This Row],[Owner_Decisions_Open]],WeeklyCommand[[#This Row],[Safety_Holds]],WeeklyCommand[[#This Row],[Data_Unavailable_Count]])&lt;0,WeeklyCommand[[#This Row],[Data_Unavailable_Count]]&gt;0,WeeklyCommand[[#This Row],[Leads_With_First_Response]]&gt;WeeklyCommand[[#This Row],[Leads_Received]],WeeklyCommand[[#This Row],[Estimates_Accepted]]&gt;WeeklyCommand[[#This Row],[Estimates_Decided]],WeeklyCommand[[#This Row],[AR_Past_Due]]&gt;WeeklyCommand[[#This Row],[Open_AR]],WeeklyCommand[[#This Row],[Projects_At_Risk]]&gt;WeeklyCommand[[#This Row],[Active_Projects]],AND(WeeklyCommand[[#This Row],[Committed_Crew_Days_Next_Week]]&gt;0,WeeklyCommand[[#This Row],[Available_Crew_Days_Next_Week]]&lt;=0),AND(WeeklyCommand[[#This Row],[Safety_Holds]]&gt;0,WeeklyCommand[[#This Row],[Overall_Status]]&lt;&gt;"BLOCKED"),AND(WeeklyCommand[[#This Row],[Overall_Status]]="HEALTHY",OR(WeeklyCommand[[#This Row],[Projects_At_Risk]]&gt;0,WeeklyCommand[[#This Row],[Owner_Decisions_Open]]&gt;0,WeeklyCommand[[#This Row],[Safety_Holds]]&gt;0,WeeklyCommand[[#This Row],[Data_Unavailable_Count]]&gt;0,WeeklyCommand[[#This Row],[Capacity_Load]]&gt;1))),"REVIEW","COMPLETE")</calculatedColumnFormula>
    </tableColumn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D44"/>
  <sheetViews>
    <sheetView workbookViewId="0"/>
  </sheetViews>
  <sheetFormatPr defaultRowHeight="15"/>
  <cols>
    <col min="1" max="1" width="34" customWidth="1"/>
    <col min="2" max="2" width="22" customWidth="1"/>
    <col min="3" max="3" width="16" customWidth="1"/>
    <col min="4" max="4" width="90" customWidth="1"/>
  </cols>
  <sheetData>
    <row r="1" ht="30" customHeight="1">
      <c r="A1" s="1" t="inlineStr">
        <is>
          <t>Weekly Owner Command Dashboard</t>
        </is>
      </c>
    </row>
    <row r="2">
      <c r="A2" s="2" t="inlineStr">
        <is>
          <t>Use verified source values only. Input cells are unlocked; formula cells are locked and fill through the Excel table.</t>
        </is>
      </c>
    </row>
    <row r="4">
      <c r="A4" s="18" t="inlineStr">
        <is>
          <t>Operating instructions</t>
        </is>
      </c>
    </row>
    <row r="5">
      <c r="A5" s="2" t="inlineStr">
        <is>
          <t>• Delete the blank starter row only after adding the first verified operating row.</t>
        </is>
      </c>
    </row>
    <row r="6">
      <c r="A6" s="2" t="inlineStr">
        <is>
          <t>• Set every explicit control or as-of date from evidence; the workbook never substitutes the device date.</t>
        </is>
      </c>
    </row>
    <row r="7">
      <c r="A7" s="2" t="inlineStr">
        <is>
          <t>• Paste values only. Text beginning with =, +, -, or @ is rejected to prevent spreadsheet formula injection.</t>
        </is>
      </c>
    </row>
    <row r="8">
      <c r="A8" s="2" t="inlineStr">
        <is>
          <t>• Keep calculated columns protected and reconcile source records before relying on a queue or result.</t>
        </is>
      </c>
    </row>
    <row r="9">
      <c r="A9" s="2" t="inlineStr">
        <is>
          <t>• The editable-source archive includes the import CSV, fictional CSV, exact formulas, and governance instructions.</t>
        </is>
      </c>
    </row>
    <row r="11">
      <c r="A11" s="18" t="inlineStr">
        <is>
          <t>Column</t>
        </is>
      </c>
      <c r="B11" s="18" t="inlineStr">
        <is>
          <t>Required</t>
        </is>
      </c>
      <c r="C11" s="18" t="inlineStr">
        <is>
          <t>Type</t>
        </is>
      </c>
      <c r="D11" s="18" t="inlineStr">
        <is>
          <t>Allowed values / guidance</t>
        </is>
      </c>
    </row>
    <row r="12">
      <c r="A12" s="2" t="inlineStr">
        <is>
          <t>Week_Start</t>
        </is>
      </c>
      <c r="B12" s="2" t="inlineStr">
        <is>
          <t>Yes</t>
        </is>
      </c>
      <c r="C12" s="2" t="inlineStr">
        <is>
          <t>date</t>
        </is>
      </c>
      <c r="D12" s="2" t="inlineStr">
        <is>
          <t>Always. Start of fixed local reporting week Defines cohort</t>
        </is>
      </c>
    </row>
    <row r="13">
      <c r="A13" s="2" t="inlineStr">
        <is>
          <t>Week_End</t>
        </is>
      </c>
      <c r="B13" s="2" t="inlineStr">
        <is>
          <t>Yes</t>
        </is>
      </c>
      <c r="C13" s="2" t="inlineStr">
        <is>
          <t>date</t>
        </is>
      </c>
      <c r="D13" s="2" t="inlineStr">
        <is>
          <t>Always. End of same reporting week Defines cohort</t>
        </is>
      </c>
    </row>
    <row r="14">
      <c r="A14" s="2" t="inlineStr">
        <is>
          <t>Data_As_Of</t>
        </is>
      </c>
      <c r="B14" s="2" t="inlineStr">
        <is>
          <t>Yes</t>
        </is>
      </c>
      <c r="C14" s="2" t="inlineStr">
        <is>
          <t>dateTime</t>
        </is>
      </c>
      <c r="D14" s="2" t="inlineStr">
        <is>
          <t>Always. Closed cutoff with timezone Prevents mixed cutoffs</t>
        </is>
      </c>
    </row>
    <row r="15">
      <c r="A15" s="2" t="inlineStr">
        <is>
          <t>Business_Scope</t>
        </is>
      </c>
      <c r="B15" s="2" t="inlineStr">
        <is>
          <t>Yes</t>
        </is>
      </c>
      <c r="C15" s="2" t="inlineStr">
        <is>
          <t>text</t>
        </is>
      </c>
      <c r="D15" s="2" t="inlineStr">
        <is>
          <t>Always. One verified business or approved aggregate Defines boundary</t>
        </is>
      </c>
    </row>
    <row r="16">
      <c r="A16" s="2" t="inlineStr">
        <is>
          <t>Currency</t>
        </is>
      </c>
      <c r="B16" s="2" t="inlineStr">
        <is>
          <t>Yes</t>
        </is>
      </c>
      <c r="C16" s="2" t="inlineStr">
        <is>
          <t>text</t>
        </is>
      </c>
      <c r="D16" s="2" t="inlineStr">
        <is>
          <t>Always. ISO currency code Prevents mixed currency</t>
        </is>
      </c>
    </row>
    <row r="17">
      <c r="A17" s="2" t="inlineStr">
        <is>
          <t>Leads_Received</t>
        </is>
      </c>
      <c r="B17" s="2" t="inlineStr">
        <is>
          <t>Yes</t>
        </is>
      </c>
      <c r="C17" s="2" t="inlineStr">
        <is>
          <t>integer</t>
        </is>
      </c>
      <c r="D17" s="2" t="inlineStr">
        <is>
          <t>Always. Unique verified inquiries in cohort Demand input</t>
        </is>
      </c>
    </row>
    <row r="18">
      <c r="A18" s="2" t="inlineStr">
        <is>
          <t>Leads_With_First_Response</t>
        </is>
      </c>
      <c r="B18" s="2" t="inlineStr">
        <is>
          <t>Yes</t>
        </is>
      </c>
      <c r="C18" s="2" t="inlineStr">
        <is>
          <t>integer</t>
        </is>
      </c>
      <c r="D18" s="2" t="inlineStr">
        <is>
          <t>Always. Same cohort with documented response Response coverage numerator</t>
        </is>
      </c>
    </row>
    <row r="19">
      <c r="A19" s="2" t="inlineStr">
        <is>
          <t>Estimates_Issued</t>
        </is>
      </c>
      <c r="B19" s="2" t="inlineStr">
        <is>
          <t>Yes</t>
        </is>
      </c>
      <c r="C19" s="2" t="inlineStr">
        <is>
          <t>integer</t>
        </is>
      </c>
      <c r="D19" s="2" t="inlineStr">
        <is>
          <t>Always. Actually issued approved estimates in cohort Estimate activity input</t>
        </is>
      </c>
    </row>
    <row r="20">
      <c r="A20" s="2" t="inlineStr">
        <is>
          <t>Estimates_Decided</t>
        </is>
      </c>
      <c r="B20" s="2" t="inlineStr">
        <is>
          <t>Yes</t>
        </is>
      </c>
      <c r="C20" s="2" t="inlineStr">
        <is>
          <t>integer</t>
        </is>
      </c>
      <c r="D20" s="2" t="inlineStr">
        <is>
          <t>Always. Same defined decision cohort with accept/decline Valid rate denominator</t>
        </is>
      </c>
    </row>
    <row r="21">
      <c r="A21" s="2" t="inlineStr">
        <is>
          <t>Estimates_Accepted</t>
        </is>
      </c>
      <c r="B21" s="2" t="inlineStr">
        <is>
          <t>Yes</t>
        </is>
      </c>
      <c r="C21" s="2" t="inlineStr">
        <is>
          <t>integer</t>
        </is>
      </c>
      <c r="D21" s="2" t="inlineStr">
        <is>
          <t>Always. Accepted within the decided cohort Valid rate numerator</t>
        </is>
      </c>
    </row>
    <row r="22">
      <c r="A22" s="2" t="inlineStr">
        <is>
          <t>Estimate_Value_Issued</t>
        </is>
      </c>
      <c r="B22" s="2" t="inlineStr">
        <is>
          <t>Yes</t>
        </is>
      </c>
      <c r="C22" s="2" t="inlineStr">
        <is>
          <t>currency</t>
        </is>
      </c>
      <c r="D22" s="2" t="inlineStr">
        <is>
          <t>Always. Value of actually issued estimates; not revenue Shows bounded issued value</t>
        </is>
      </c>
    </row>
    <row r="23">
      <c r="A23" s="2" t="inlineStr">
        <is>
          <t>Approved_Change_Value</t>
        </is>
      </c>
      <c r="B23" s="2" t="inlineStr">
        <is>
          <t>Yes</t>
        </is>
      </c>
      <c r="C23" s="2" t="inlineStr">
        <is>
          <t>currency</t>
        </is>
      </c>
      <c r="D23" s="2" t="inlineStr">
        <is>
          <t>Always. Approved changes in reporting boundary; not cash Shows supported approval value</t>
        </is>
      </c>
    </row>
    <row r="24">
      <c r="A24" s="2" t="inlineStr">
        <is>
          <t>Completed_Unbilled_Change_Value</t>
        </is>
      </c>
      <c r="B24" s="2" t="inlineStr">
        <is>
          <t>Yes</t>
        </is>
      </c>
      <c r="C24" s="2" t="inlineStr">
        <is>
          <t>currency</t>
        </is>
      </c>
      <c r="D24" s="2" t="inlineStr">
        <is>
          <t>Always. Approved completed changes not yet invoiced Surfaces billing handoff without calling it revenue</t>
        </is>
      </c>
    </row>
    <row r="25">
      <c r="A25" s="2" t="inlineStr">
        <is>
          <t>Invoices_Issued_Value</t>
        </is>
      </c>
      <c r="B25" s="2" t="inlineStr">
        <is>
          <t>Yes</t>
        </is>
      </c>
      <c r="C25" s="2" t="inlineStr">
        <is>
          <t>currency</t>
        </is>
      </c>
      <c r="D25" s="2" t="inlineStr">
        <is>
          <t>Always. Actually issued invoice value Separates billing from cash</t>
        </is>
      </c>
    </row>
    <row r="26">
      <c r="A26" s="2" t="inlineStr">
        <is>
          <t>Cash_Received</t>
        </is>
      </c>
      <c r="B26" s="2" t="inlineStr">
        <is>
          <t>Yes</t>
        </is>
      </c>
      <c r="C26" s="2" t="inlineStr">
        <is>
          <t>currency</t>
        </is>
      </c>
      <c r="D26" s="2" t="inlineStr">
        <is>
          <t>Always. Verified settled cash receipts in period Measures actual receipt</t>
        </is>
      </c>
    </row>
    <row r="27">
      <c r="A27" s="2" t="inlineStr">
        <is>
          <t>Open_AR</t>
        </is>
      </c>
      <c r="B27" s="2" t="inlineStr">
        <is>
          <t>Yes</t>
        </is>
      </c>
      <c r="C27" s="2" t="inlineStr">
        <is>
          <t>currency</t>
        </is>
      </c>
      <c r="D27" s="2" t="inlineStr">
        <is>
          <t>Always. Authoritative open receivables at cutoff Shows open ledger balance</t>
        </is>
      </c>
    </row>
    <row r="28">
      <c r="A28" s="2" t="inlineStr">
        <is>
          <t>AR_Past_Due</t>
        </is>
      </c>
      <c r="B28" s="2" t="inlineStr">
        <is>
          <t>Yes</t>
        </is>
      </c>
      <c r="C28" s="2" t="inlineStr">
        <is>
          <t>currency</t>
        </is>
      </c>
      <c r="D28" s="2" t="inlineStr">
        <is>
          <t>Always. Open AR beyond authoritative due date Shows aging exposure without predicting loss</t>
        </is>
      </c>
    </row>
    <row r="29">
      <c r="A29" s="2" t="inlineStr">
        <is>
          <t>Credits_And_Refunds</t>
        </is>
      </c>
      <c r="B29" s="2" t="inlineStr">
        <is>
          <t>Yes</t>
        </is>
      </c>
      <c r="C29" s="2" t="inlineStr">
        <is>
          <t>currency</t>
        </is>
      </c>
      <c r="D29" s="2" t="inlineStr">
        <is>
          <t>Always. Actually issued credits and settled refunds in period Keeps offsets visible</t>
        </is>
      </c>
    </row>
    <row r="30">
      <c r="A30" s="2" t="inlineStr">
        <is>
          <t>Active_Projects</t>
        </is>
      </c>
      <c r="B30" s="2" t="inlineStr">
        <is>
          <t>Yes</t>
        </is>
      </c>
      <c r="C30" s="2" t="inlineStr">
        <is>
          <t>integer</t>
        </is>
      </c>
      <c r="D30" s="2" t="inlineStr">
        <is>
          <t>Always. Projects meeting approved active definition Delivery scope</t>
        </is>
      </c>
    </row>
    <row r="31">
      <c r="A31" s="2" t="inlineStr">
        <is>
          <t>Projects_At_Risk</t>
        </is>
      </c>
      <c r="B31" s="2" t="inlineStr">
        <is>
          <t>Yes</t>
        </is>
      </c>
      <c r="C31" s="2" t="inlineStr">
        <is>
          <t>integer</t>
        </is>
      </c>
      <c r="D31" s="2" t="inlineStr">
        <is>
          <t>Always. Active projects with evidenced at-risk condition Surfaces exceptions</t>
        </is>
      </c>
    </row>
    <row r="32">
      <c r="A32" s="2" t="inlineStr">
        <is>
          <t>Available_Crew_Days_Next_Week</t>
        </is>
      </c>
      <c r="B32" s="2" t="inlineStr">
        <is>
          <t>Yes</t>
        </is>
      </c>
      <c r="C32" s="2" t="inlineStr">
        <is>
          <t>decimal</t>
        </is>
      </c>
      <c r="D32" s="2" t="inlineStr">
        <is>
          <t>Always. Approved available capacity in consistent units Capacity denominator</t>
        </is>
      </c>
    </row>
    <row r="33">
      <c r="A33" s="2" t="inlineStr">
        <is>
          <t>Committed_Crew_Days_Next_Week</t>
        </is>
      </c>
      <c r="B33" s="2" t="inlineStr">
        <is>
          <t>Yes</t>
        </is>
      </c>
      <c r="C33" s="2" t="inlineStr">
        <is>
          <t>decimal</t>
        </is>
      </c>
      <c r="D33" s="2" t="inlineStr">
        <is>
          <t>Always. Approved scheduled capacity in same units Capacity numerator</t>
        </is>
      </c>
    </row>
    <row r="34">
      <c r="A34" s="2" t="inlineStr">
        <is>
          <t>Owner_Decisions_Open</t>
        </is>
      </c>
      <c r="B34" s="2" t="inlineStr">
        <is>
          <t>Yes</t>
        </is>
      </c>
      <c r="C34" s="2" t="inlineStr">
        <is>
          <t>integer</t>
        </is>
      </c>
      <c r="D34" s="2" t="inlineStr">
        <is>
          <t>Always. Open items requiring owner authority Shows decision load</t>
        </is>
      </c>
    </row>
    <row r="35">
      <c r="A35" s="2" t="inlineStr">
        <is>
          <t>Safety_Holds</t>
        </is>
      </c>
      <c r="B35" s="2" t="inlineStr">
        <is>
          <t>Yes</t>
        </is>
      </c>
      <c r="C35" s="2" t="inlineStr">
        <is>
          <t>integer</t>
        </is>
      </c>
      <c r="D35" s="2" t="inlineStr">
        <is>
          <t>Always. Open approved safety-hold records Shows stop conditions without narrative</t>
        </is>
      </c>
    </row>
    <row r="36">
      <c r="A36" s="2" t="inlineStr">
        <is>
          <t>Data_Unavailable_Count</t>
        </is>
      </c>
      <c r="B36" s="2" t="inlineStr">
        <is>
          <t>Yes</t>
        </is>
      </c>
      <c r="C36" s="2" t="inlineStr">
        <is>
          <t>integer</t>
        </is>
      </c>
      <c r="D36" s="2" t="inlineStr">
        <is>
          <t>Always. Required unavailable or unreconciled inputs Prevents false completeness</t>
        </is>
      </c>
    </row>
    <row r="37">
      <c r="A37" s="2" t="inlineStr">
        <is>
          <t>Lead_Response_Coverage</t>
        </is>
      </c>
      <c r="B37" s="2" t="inlineStr">
        <is>
          <t>Conditional or optional</t>
        </is>
      </c>
      <c r="C37" s="2" t="inlineStr">
        <is>
          <t>percentage</t>
        </is>
      </c>
      <c r="D37" s="2" t="inlineStr">
        <is>
          <t>Calculated and locked: =IF(OR([@[Leads_Received]]="",[@[Leads_With_First_Response]]="",[@[Leads_Received]]&lt;=0,[@[Leads_With_First_Response]]&lt;0,[@[Leads_With_First_Response]]&gt;[@[Leads_Received]]),"",[@[Leads_With_First_Response]]/[@[Leads_Received]])</t>
        </is>
      </c>
    </row>
    <row r="38">
      <c r="A38" s="2" t="inlineStr">
        <is>
          <t>Estimate_Acceptance_Rate</t>
        </is>
      </c>
      <c r="B38" s="2" t="inlineStr">
        <is>
          <t>Conditional or optional</t>
        </is>
      </c>
      <c r="C38" s="2" t="inlineStr">
        <is>
          <t>percentage</t>
        </is>
      </c>
      <c r="D38" s="2" t="inlineStr">
        <is>
          <t>Calculated and locked: =IF(OR([@[Estimates_Decided]]="",[@[Estimates_Accepted]]="",[@[Estimates_Decided]]&lt;=0,[@[Estimates_Accepted]]&lt;0,[@[Estimates_Accepted]]&gt;[@[Estimates_Decided]]),"",[@[Estimates_Accepted]]/[@[Estimates_Decided]])</t>
        </is>
      </c>
    </row>
    <row r="39">
      <c r="A39" s="2" t="inlineStr">
        <is>
          <t>Capacity_Load</t>
        </is>
      </c>
      <c r="B39" s="2" t="inlineStr">
        <is>
          <t>Conditional or optional</t>
        </is>
      </c>
      <c r="C39" s="2" t="inlineStr">
        <is>
          <t>text</t>
        </is>
      </c>
      <c r="D39" s="2" t="inlineStr">
        <is>
          <t>Calculated and locked: =IF(OR([@[Available_Crew_Days_Next_Week]]="",[@[Committed_Crew_Days_Next_Week]]="",[@[Available_Crew_Days_Next_Week]]&lt;=0,[@[Committed_Crew_Days_Next_Week]]&lt;0),"",[@[Committed_Crew_Days_Next_Week]]/[@[Available_Crew_Days_Next_Week]])</t>
        </is>
      </c>
    </row>
    <row r="40">
      <c r="A40" s="2" t="inlineStr">
        <is>
          <t>Overall_Status</t>
        </is>
      </c>
      <c r="B40" s="2" t="inlineStr">
        <is>
          <t>Yes</t>
        </is>
      </c>
      <c r="C40" s="2" t="inlineStr">
        <is>
          <t>text</t>
        </is>
      </c>
      <c r="D40" s="2" t="inlineStr">
        <is>
          <t>HEALTHY; DEGRADED; BLOCKED</t>
        </is>
      </c>
    </row>
    <row r="41">
      <c r="A41" s="2" t="inlineStr">
        <is>
          <t>Top_Exception</t>
        </is>
      </c>
      <c r="B41" s="2" t="inlineStr">
        <is>
          <t>Yes</t>
        </is>
      </c>
      <c r="C41" s="2" t="inlineStr">
        <is>
          <t>text</t>
        </is>
      </c>
      <c r="D41" s="2" t="inlineStr">
        <is>
          <t>Always. One factual material exception or NONE Centers review on evidence</t>
        </is>
      </c>
    </row>
    <row r="42">
      <c r="A42" s="2" t="inlineStr">
        <is>
          <t>Next_Owner_Action</t>
        </is>
      </c>
      <c r="B42" s="2" t="inlineStr">
        <is>
          <t>Yes</t>
        </is>
      </c>
      <c r="C42" s="2" t="inlineStr">
        <is>
          <t>text</t>
        </is>
      </c>
      <c r="D42" s="2" t="inlineStr">
        <is>
          <t>Always. Observable action owner and due date or NONE Creates accountable readback</t>
        </is>
      </c>
    </row>
    <row r="43">
      <c r="A43" s="2" t="inlineStr">
        <is>
          <t>Evidence_Packet_Ref</t>
        </is>
      </c>
      <c r="B43" s="2" t="inlineStr">
        <is>
          <t>Yes</t>
        </is>
      </c>
      <c r="C43" s="2" t="inlineStr">
        <is>
          <t>text</t>
        </is>
      </c>
      <c r="D43" s="2" t="inlineStr">
        <is>
          <t>Always. Secure closed weekly evidence reference Binds inputs</t>
        </is>
      </c>
    </row>
    <row r="44">
      <c r="A44" s="2" t="inlineStr">
        <is>
          <t>Data_Quality_Flag</t>
        </is>
      </c>
      <c r="B44" s="2" t="inlineStr">
        <is>
          <t>Conditional or optional</t>
        </is>
      </c>
      <c r="C44" s="2" t="inlineStr">
        <is>
          <t>text</t>
        </is>
      </c>
      <c r="D44" s="2" t="inlineStr">
        <is>
          <t>Calculated and locked: =IF(OR([@[Week_Start]]="",[@[Week_End]]="",[@[Week_End]]&lt;[@[Week_Start]],[@[Data_As_Of]]="",[@[Business_Scope]]="",LEN([@[Currency]])&lt;&gt;3,[@[Leads_Received]]="",[@[Leads_With_First_Response]]="",[@[Estimates_Issued]]="",[@[Estimates_Decided]]="",[@[Estimates_Accepted]]="",[@[Estimate_Value_Issued]]="",[@[Approved_Change_Value]]="",[@[Completed_Unbilled_Change_Value]]="",[@[Invoices_Issued_Value]]="",[@[Cash_Received]]="",[@[Open_AR]]="",[@[AR_Past_Due]]="",[@[Credits_And_Refunds]]="",[@[Active_Projects]]="",[@[Projects_At_Risk]]="",[@[Available_Crew_Days_Next_Week]]="",[@[Committed_Crew_Days_Next_Week]]="",[@[Owner_Decisions_Open]]="",[@[Safety_Holds]]="",[@[Data_Unavailable_Count]]="",[@[Overall_Status]]="",[@[Top_Exception]]="",[@[Next_Owner_Action]]="",[@[Evidence_Packet_Ref]]="",MIN([@[Leads_Received]],[@[Leads_With_First_Response]],[@[Estimates_Issued]],[@[Estimates_Decided]],[@[Estimates_Accepted]],[@[Estimate_Value_Issued]],[@[Approved_Change_Value]],[@[Completed_Unbilled_Change_Value]],[@[Invoices_Issued_Value]],[@[Cash_Received]],[@[Open_AR]],[@[AR_Past_Due]],[@[Credits_And_Refunds]],[@[Active_Projects]],[@[Projects_At_Risk]],[@[Available_Crew_Days_Next_Week]],[@[Committed_Crew_Days_Next_Week]],[@[Owner_Decisions_Open]],[@[Safety_Holds]],[@[Data_Unavailable_Count]])&lt;0,[@[Data_Unavailable_Count]]&gt;0,[@[Leads_With_First_Response]]&gt;[@[Leads_Received]],[@[Estimates_Accepted]]&gt;[@[Estimates_Decided]],[@[AR_Past_Due]]&gt;[@[Open_AR]],[@[Projects_At_Risk]]&gt;[@[Active_Projects]],AND([@[Committed_Crew_Days_Next_Week]]&gt;0,[@[Available_Crew_Days_Next_Week]]&lt;=0),AND([@[Safety_Holds]]&gt;0,[@[Overall_Status]]&lt;&gt;"BLOCKED"),AND([@[Overall_Status]]="HEALTHY",OR([@[Projects_At_Risk]]&gt;0,[@[Owner_Decisions_Open]]&gt;0,[@[Safety_Holds]]&gt;0,[@[Data_Unavailable_Count]]&gt;0,[@[Capacity_Load]]&gt;1))),"REVIEW","COMPLETE")</t>
        </is>
      </c>
    </row>
  </sheetData>
  <mergeCells count="2">
    <mergeCell ref="A1:D1"/>
    <mergeCell ref="A2:D2"/>
  </mergeCell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16" customWidth="1"/>
    <col min="5" max="5" width="13" customWidth="1"/>
    <col min="6" max="6" width="16" customWidth="1"/>
    <col min="7" max="7" width="27" customWidth="1"/>
    <col min="8" max="8" width="18" customWidth="1"/>
    <col min="9" max="9" width="19" customWidth="1"/>
    <col min="10" max="10" width="20" customWidth="1"/>
    <col min="11" max="11" width="23" customWidth="1"/>
    <col min="12" max="12" width="23" customWidth="1"/>
    <col min="13" max="13" width="33" customWidth="1"/>
    <col min="14" max="14" width="23" customWidth="1"/>
    <col min="15" max="15" width="15" customWidth="1"/>
    <col min="16" max="16" width="13" customWidth="1"/>
    <col min="17" max="17" width="13" customWidth="1"/>
    <col min="18" max="18" width="21" customWidth="1"/>
    <col min="19" max="19" width="17" customWidth="1"/>
    <col min="20" max="20" width="18" customWidth="1"/>
    <col min="21" max="21" width="31" customWidth="1"/>
    <col min="22" max="22" width="31" customWidth="1"/>
    <col min="23" max="23" width="22" customWidth="1"/>
    <col min="24" max="24" width="14" customWidth="1"/>
    <col min="25" max="25" width="24" customWidth="1"/>
    <col min="26" max="26" width="24" customWidth="1"/>
    <col min="27" max="27" width="26" customWidth="1"/>
    <col min="28" max="28" width="15" customWidth="1"/>
    <col min="29" max="29" width="16" customWidth="1"/>
    <col min="30" max="30" width="15" customWidth="1"/>
    <col min="31" max="31" width="19" customWidth="1"/>
    <col min="32" max="32" width="21" customWidth="1"/>
    <col min="33" max="33" width="19" customWidth="1"/>
  </cols>
  <sheetData>
    <row r="1" ht="24" customHeight="1">
      <c r="A1" s="3" t="inlineStr">
        <is>
          <t>Week_Start</t>
        </is>
      </c>
      <c r="B1" s="3" t="inlineStr">
        <is>
          <t>Week_End</t>
        </is>
      </c>
      <c r="C1" s="3" t="inlineStr">
        <is>
          <t>Data_As_Of</t>
        </is>
      </c>
      <c r="D1" s="3" t="inlineStr">
        <is>
          <t>Business_Scope</t>
        </is>
      </c>
      <c r="E1" s="3" t="inlineStr">
        <is>
          <t>Currency</t>
        </is>
      </c>
      <c r="F1" s="3" t="inlineStr">
        <is>
          <t>Leads_Received</t>
        </is>
      </c>
      <c r="G1" s="3" t="inlineStr">
        <is>
          <t>Leads_With_First_Response</t>
        </is>
      </c>
      <c r="H1" s="3" t="inlineStr">
        <is>
          <t>Estimates_Issued</t>
        </is>
      </c>
      <c r="I1" s="3" t="inlineStr">
        <is>
          <t>Estimates_Decided</t>
        </is>
      </c>
      <c r="J1" s="3" t="inlineStr">
        <is>
          <t>Estimates_Accepted</t>
        </is>
      </c>
      <c r="K1" s="3" t="inlineStr">
        <is>
          <t>Estimate_Value_Issued</t>
        </is>
      </c>
      <c r="L1" s="3" t="inlineStr">
        <is>
          <t>Approved_Change_Value</t>
        </is>
      </c>
      <c r="M1" s="3" t="inlineStr">
        <is>
          <t>Completed_Unbilled_Change_Value</t>
        </is>
      </c>
      <c r="N1" s="3" t="inlineStr">
        <is>
          <t>Invoices_Issued_Value</t>
        </is>
      </c>
      <c r="O1" s="3" t="inlineStr">
        <is>
          <t>Cash_Received</t>
        </is>
      </c>
      <c r="P1" s="3" t="inlineStr">
        <is>
          <t>Open_AR</t>
        </is>
      </c>
      <c r="Q1" s="3" t="inlineStr">
        <is>
          <t>AR_Past_Due</t>
        </is>
      </c>
      <c r="R1" s="3" t="inlineStr">
        <is>
          <t>Credits_And_Refunds</t>
        </is>
      </c>
      <c r="S1" s="3" t="inlineStr">
        <is>
          <t>Active_Projects</t>
        </is>
      </c>
      <c r="T1" s="3" t="inlineStr">
        <is>
          <t>Projects_At_Risk</t>
        </is>
      </c>
      <c r="U1" s="3" t="inlineStr">
        <is>
          <t>Available_Crew_Days_Next_Week</t>
        </is>
      </c>
      <c r="V1" s="3" t="inlineStr">
        <is>
          <t>Committed_Crew_Days_Next_Week</t>
        </is>
      </c>
      <c r="W1" s="3" t="inlineStr">
        <is>
          <t>Owner_Decisions_Open</t>
        </is>
      </c>
      <c r="X1" s="3" t="inlineStr">
        <is>
          <t>Safety_Holds</t>
        </is>
      </c>
      <c r="Y1" s="3" t="inlineStr">
        <is>
          <t>Data_Unavailable_Count</t>
        </is>
      </c>
      <c r="Z1" s="3" t="inlineStr">
        <is>
          <t>Lead_Response_Coverage</t>
        </is>
      </c>
      <c r="AA1" s="3" t="inlineStr">
        <is>
          <t>Estimate_Acceptance_Rate</t>
        </is>
      </c>
      <c r="AB1" s="3" t="inlineStr">
        <is>
          <t>Capacity_Load</t>
        </is>
      </c>
      <c r="AC1" s="3" t="inlineStr">
        <is>
          <t>Overall_Status</t>
        </is>
      </c>
      <c r="AD1" s="3" t="inlineStr">
        <is>
          <t>Top_Exception</t>
        </is>
      </c>
      <c r="AE1" s="3" t="inlineStr">
        <is>
          <t>Next_Owner_Action</t>
        </is>
      </c>
      <c r="AF1" s="3" t="inlineStr">
        <is>
          <t>Evidence_Packet_Ref</t>
        </is>
      </c>
      <c r="AG1" s="3" t="inlineStr">
        <is>
          <t>Data_Quality_Flag</t>
        </is>
      </c>
    </row>
    <row r="2">
      <c r="A2" s="5"/>
      <c r="B2" s="5"/>
      <c r="C2" s="6"/>
      <c r="D2" s="4"/>
      <c r="E2" s="4"/>
      <c r="F2" s="9"/>
      <c r="G2" s="9"/>
      <c r="H2" s="9"/>
      <c r="I2" s="9"/>
      <c r="J2" s="9"/>
      <c r="K2" s="7"/>
      <c r="L2" s="7"/>
      <c r="M2" s="7"/>
      <c r="N2" s="7"/>
      <c r="O2" s="7"/>
      <c r="P2" s="7"/>
      <c r="Q2" s="7"/>
      <c r="R2" s="7"/>
      <c r="S2" s="9"/>
      <c r="T2" s="9"/>
      <c r="U2" s="10"/>
      <c r="V2" s="10"/>
      <c r="W2" s="9"/>
      <c r="X2" s="9"/>
      <c r="Y2" s="9"/>
      <c r="Z2" s="15">
        <f>IF(OR(WeeklyCommand[[#This Row],[Leads_Received]]="",WeeklyCommand[[#This Row],[Leads_With_First_Response]]="",WeeklyCommand[[#This Row],[Leads_Received]]&lt;=0,WeeklyCommand[[#This Row],[Leads_With_First_Response]]&lt;0,WeeklyCommand[[#This Row],[Leads_With_First_Response]]&gt;WeeklyCommand[[#This Row],[Leads_Received]]),"",WeeklyCommand[[#This Row],[Leads_With_First_Response]]/WeeklyCommand[[#This Row],[Leads_Received]])</f>
      </c>
      <c r="AA2" s="15">
        <f>IF(OR(WeeklyCommand[[#This Row],[Estimates_Decided]]="",WeeklyCommand[[#This Row],[Estimates_Accepted]]="",WeeklyCommand[[#This Row],[Estimates_Decided]]&lt;=0,WeeklyCommand[[#This Row],[Estimates_Accepted]]&lt;0,WeeklyCommand[[#This Row],[Estimates_Accepted]]&gt;WeeklyCommand[[#This Row],[Estimates_Decided]]),"",WeeklyCommand[[#This Row],[Estimates_Accepted]]/WeeklyCommand[[#This Row],[Estimates_Decided]])</f>
      </c>
      <c r="AB2" s="11">
        <f>IF(OR(WeeklyCommand[[#This Row],[Available_Crew_Days_Next_Week]]="",WeeklyCommand[[#This Row],[Committed_Crew_Days_Next_Week]]="",WeeklyCommand[[#This Row],[Available_Crew_Days_Next_Week]]&lt;=0,WeeklyCommand[[#This Row],[Committed_Crew_Days_Next_Week]]&lt;0),"",WeeklyCommand[[#This Row],[Committed_Crew_Days_Next_Week]]/WeeklyCommand[[#This Row],[Available_Crew_Days_Next_Week]])</f>
      </c>
      <c r="AC2" s="4"/>
      <c r="AD2" s="4"/>
      <c r="AE2" s="4"/>
      <c r="AF2" s="4"/>
      <c r="AG2" s="11">
        <f>IF(OR(WeeklyCommand[[#This Row],[Week_Start]]="",WeeklyCommand[[#This Row],[Week_End]]="",WeeklyCommand[[#This Row],[Week_End]]&lt;WeeklyCommand[[#This Row],[Week_Start]],WeeklyCommand[[#This Row],[Data_As_Of]]="",WeeklyCommand[[#This Row],[Business_Scope]]="",LEN(WeeklyCommand[[#This Row],[Currency]])&lt;&gt;3,WeeklyCommand[[#This Row],[Leads_Received]]="",WeeklyCommand[[#This Row],[Leads_With_First_Response]]="",WeeklyCommand[[#This Row],[Estimates_Issued]]="",WeeklyCommand[[#This Row],[Estimates_Decided]]="",WeeklyCommand[[#This Row],[Estimates_Accepted]]="",WeeklyCommand[[#This Row],[Estimate_Value_Issued]]="",WeeklyCommand[[#This Row],[Approved_Change_Value]]="",WeeklyCommand[[#This Row],[Completed_Unbilled_Change_Value]]="",WeeklyCommand[[#This Row],[Invoices_Issued_Value]]="",WeeklyCommand[[#This Row],[Cash_Received]]="",WeeklyCommand[[#This Row],[Open_AR]]="",WeeklyCommand[[#This Row],[AR_Past_Due]]="",WeeklyCommand[[#This Row],[Credits_And_Refunds]]="",WeeklyCommand[[#This Row],[Active_Projects]]="",WeeklyCommand[[#This Row],[Projects_At_Risk]]="",WeeklyCommand[[#This Row],[Available_Crew_Days_Next_Week]]="",WeeklyCommand[[#This Row],[Committed_Crew_Days_Next_Week]]="",WeeklyCommand[[#This Row],[Owner_Decisions_Open]]="",WeeklyCommand[[#This Row],[Safety_Holds]]="",WeeklyCommand[[#This Row],[Data_Unavailable_Count]]="",WeeklyCommand[[#This Row],[Overall_Status]]="",WeeklyCommand[[#This Row],[Top_Exception]]="",WeeklyCommand[[#This Row],[Next_Owner_Action]]="",WeeklyCommand[[#This Row],[Evidence_Packet_Ref]]="",MIN(WeeklyCommand[[#This Row],[Leads_Received]],WeeklyCommand[[#This Row],[Leads_With_First_Response]],WeeklyCommand[[#This Row],[Estimates_Issued]],WeeklyCommand[[#This Row],[Estimates_Decided]],WeeklyCommand[[#This Row],[Estimates_Accepted]],WeeklyCommand[[#This Row],[Estimate_Value_Issued]],WeeklyCommand[[#This Row],[Approved_Change_Value]],WeeklyCommand[[#This Row],[Completed_Unbilled_Change_Value]],WeeklyCommand[[#This Row],[Invoices_Issued_Value]],WeeklyCommand[[#This Row],[Cash_Received]],WeeklyCommand[[#This Row],[Open_AR]],WeeklyCommand[[#This Row],[AR_Past_Due]],WeeklyCommand[[#This Row],[Credits_And_Refunds]],WeeklyCommand[[#This Row],[Active_Projects]],WeeklyCommand[[#This Row],[Projects_At_Risk]],WeeklyCommand[[#This Row],[Available_Crew_Days_Next_Week]],WeeklyCommand[[#This Row],[Committed_Crew_Days_Next_Week]],WeeklyCommand[[#This Row],[Owner_Decisions_Open]],WeeklyCommand[[#This Row],[Safety_Holds]],WeeklyCommand[[#This Row],[Data_Unavailable_Count]])&lt;0,WeeklyCommand[[#This Row],[Data_Unavailable_Count]]&gt;0,WeeklyCommand[[#This Row],[Leads_With_First_Response]]&gt;WeeklyCommand[[#This Row],[Leads_Received]],WeeklyCommand[[#This Row],[Estimates_Accepted]]&gt;WeeklyCommand[[#This Row],[Estimates_Decided]],WeeklyCommand[[#This Row],[AR_Past_Due]]&gt;WeeklyCommand[[#This Row],[Open_AR]],WeeklyCommand[[#This Row],[Projects_At_Risk]]&gt;WeeklyCommand[[#This Row],[Active_Projects]],AND(WeeklyCommand[[#This Row],[Committed_Crew_Days_Next_Week]]&gt;0,WeeklyCommand[[#This Row],[Available_Crew_Days_Next_Week]]&lt;=0),AND(WeeklyCommand[[#This Row],[Safety_Holds]]&gt;0,WeeklyCommand[[#This Row],[Overall_Status]]&lt;&gt;"BLOCKED"),AND(WeeklyCommand[[#This Row],[Overall_Status]]="HEALTHY",OR(WeeklyCommand[[#This Row],[Projects_At_Risk]]&gt;0,WeeklyCommand[[#This Row],[Owner_Decisions_Open]]&gt;0,WeeklyCommand[[#This Row],[Safety_Holds]]&gt;0,WeeklyCommand[[#This Row],[Data_Unavailable_Count]]&gt;0,WeeklyCommand[[#This Row],[Capacity_Load]]&gt;1))),"REVIEW","COMPLETE")</f>
      </c>
    </row>
  </sheetData>
  <sheetProtection sheet="1" objects="1" scenarios="1" formatCells="1" formatColumns="1" formatRows="1" insertColumns="1" insertRows="0" insertHyperlinks="1" deleteColumns="1" deleteRows="1" selectLockedCells="1" sort="0" autoFilter="0" pivotTables="1" selectUnlockedCells="0"/>
  <dataValidations count="29">
    <dataValidation type="date" operator="between" allowBlank="0" showInputMessage="1" showErrorMessage="1" errorStyle="stop" sqref="A2:A1048576" errorTitle="Invalid date" error="Enter a valid Excel date." promptTitle="Date" prompt="Enter a verified date.">
      <formula1>1</formula1>
      <formula2>2958465</formula2>
    </dataValidation>
    <dataValidation type="date" operator="between" allowBlank="0" showInputMessage="1" showErrorMessage="1" errorStyle="stop" sqref="B2:B1048576" errorTitle="Invalid date" error="Enter a valid Excel date." promptTitle="Date" prompt="Enter a verified date.">
      <formula1>1</formula1>
      <formula2>2958465</formula2>
    </dataValidation>
    <dataValidation type="date" operator="between" allowBlank="0" showInputMessage="1" showErrorMessage="1" errorStyle="stop" sqref="C2:C1048576" errorTitle="Invalid date" error="Enter a valid Excel date." promptTitle="Date" prompt="Enter a verified date.">
      <formula1>1</formula1>
      <formula2>2958465</formula2>
    </dataValidation>
    <dataValidation type="custom" allowBlank="0" showInputMessage="1" showErrorMessage="1" errorStyle="stop" sqref="D2:D1048576" errorTitle="Unsafe text value" error="Enter text that does not begin with =, +, -, or @." promptTitle="Verified text" prompt="Paste values only; formula-leading text is rejected.">
      <formula1>AND(LEN(TRIM(D2))&gt;0,NOT(OR(LEFT(D2,1)="=",LEFT(D2,1)="+",LEFT(D2,1)="-",LEFT(D2,1)="@")))</formula1>
    </dataValidation>
    <dataValidation type="custom" allowBlank="0" showInputMessage="1" showErrorMessage="1" errorStyle="stop" sqref="E2:E1048576" errorTitle="Unsafe text value" error="Enter text that does not begin with =, +, -, or @." promptTitle="Verified text" prompt="Paste values only; formula-leading text is rejected.">
      <formula1>AND(LEN(TRIM(E2))&gt;0,NOT(OR(LEFT(E2,1)="=",LEFT(E2,1)="+",LEFT(E2,1)="-",LEFT(E2,1)="@")))</formula1>
    </dataValidation>
    <dataValidation type="whole" operator="between" allowBlank="0" showInputMessage="1" showErrorMessage="1" errorStyle="stop" sqref="F2:F1048576" errorTitle="Invalid whole number" error="Enter a whole number." promptTitle="Whole number" prompt="Enter a verified whole number.">
      <formula1>-9007199254740991</formula1>
      <formula2>9007199254740991</formula2>
    </dataValidation>
    <dataValidation type="whole" operator="between" allowBlank="0" showInputMessage="1" showErrorMessage="1" errorStyle="stop" sqref="G2:G1048576" errorTitle="Invalid whole number" error="Enter a whole number." promptTitle="Whole number" prompt="Enter a verified whole number.">
      <formula1>-9007199254740991</formula1>
      <formula2>9007199254740991</formula2>
    </dataValidation>
    <dataValidation type="whole" operator="between" allowBlank="0" showInputMessage="1" showErrorMessage="1" errorStyle="stop" sqref="H2:H1048576" errorTitle="Invalid whole number" error="Enter a whole number." promptTitle="Whole number" prompt="Enter a verified whole number.">
      <formula1>-9007199254740991</formula1>
      <formula2>9007199254740991</formula2>
    </dataValidation>
    <dataValidation type="whole" operator="between" allowBlank="0" showInputMessage="1" showErrorMessage="1" errorStyle="stop" sqref="I2:I1048576" errorTitle="Invalid whole number" error="Enter a whole number." promptTitle="Whole number" prompt="Enter a verified whole number.">
      <formula1>-9007199254740991</formula1>
      <formula2>9007199254740991</formula2>
    </dataValidation>
    <dataValidation type="whole" operator="between" allowBlank="0" showInputMessage="1" showErrorMessage="1" errorStyle="stop" sqref="J2:J1048576" errorTitle="Invalid whole number" error="Enter a whole number." promptTitle="Whole number" prompt="Enter a verified whole number.">
      <formula1>-9007199254740991</formula1>
      <formula2>9007199254740991</formula2>
    </dataValidation>
    <dataValidation type="decimal" operator="between" allowBlank="0" showInputMessage="1" showErrorMessage="1" errorStyle="stop" sqref="K2:K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L2:L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M2:M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N2:N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O2:O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P2:P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Q2:Q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R2:R1048576" errorTitle="Invalid number" error="Enter a numeric value." promptTitle="Number" prompt="Enter a verified numeric value.">
      <formula1>-1E+307</formula1>
      <formula2>1E+307</formula2>
    </dataValidation>
    <dataValidation type="whole" operator="between" allowBlank="0" showInputMessage="1" showErrorMessage="1" errorStyle="stop" sqref="S2:S1048576" errorTitle="Invalid whole number" error="Enter a whole number." promptTitle="Whole number" prompt="Enter a verified whole number.">
      <formula1>-9007199254740991</formula1>
      <formula2>9007199254740991</formula2>
    </dataValidation>
    <dataValidation type="whole" operator="between" allowBlank="0" showInputMessage="1" showErrorMessage="1" errorStyle="stop" sqref="T2:T1048576" errorTitle="Invalid whole number" error="Enter a whole number." promptTitle="Whole number" prompt="Enter a verified whole number.">
      <formula1>-9007199254740991</formula1>
      <formula2>9007199254740991</formula2>
    </dataValidation>
    <dataValidation type="decimal" operator="between" allowBlank="0" showInputMessage="1" showErrorMessage="1" errorStyle="stop" sqref="U2:U1048576" errorTitle="Invalid number" error="Enter a numeric value." promptTitle="Number" prompt="Enter a verified numeric value.">
      <formula1>-1E+307</formula1>
      <formula2>1E+307</formula2>
    </dataValidation>
    <dataValidation type="decimal" operator="between" allowBlank="0" showInputMessage="1" showErrorMessage="1" errorStyle="stop" sqref="V2:V1048576" errorTitle="Invalid number" error="Enter a numeric value." promptTitle="Number" prompt="Enter a verified numeric value.">
      <formula1>-1E+307</formula1>
      <formula2>1E+307</formula2>
    </dataValidation>
    <dataValidation type="whole" operator="between" allowBlank="0" showInputMessage="1" showErrorMessage="1" errorStyle="stop" sqref="W2:W1048576" errorTitle="Invalid whole number" error="Enter a whole number." promptTitle="Whole number" prompt="Enter a verified whole number.">
      <formula1>-9007199254740991</formula1>
      <formula2>9007199254740991</formula2>
    </dataValidation>
    <dataValidation type="whole" operator="between" allowBlank="0" showInputMessage="1" showErrorMessage="1" errorStyle="stop" sqref="X2:X1048576" errorTitle="Invalid whole number" error="Enter a whole number." promptTitle="Whole number" prompt="Enter a verified whole number.">
      <formula1>-9007199254740991</formula1>
      <formula2>9007199254740991</formula2>
    </dataValidation>
    <dataValidation type="whole" operator="between" allowBlank="0" showInputMessage="1" showErrorMessage="1" errorStyle="stop" sqref="Y2:Y1048576" errorTitle="Invalid whole number" error="Enter a whole number." promptTitle="Whole number" prompt="Enter a verified whole number.">
      <formula1>-9007199254740991</formula1>
      <formula2>9007199254740991</formula2>
    </dataValidation>
    <dataValidation type="list" allowBlank="0" showInputMessage="1" showErrorMessage="1" errorStyle="stop" sqref="AC2:AC1048576" errorTitle="Invalid value" error="Choose a value from the controlled list." promptTitle="Controlled field" prompt="Choose a listed value; do not invent a new status.">
      <formula1>_dv_29</formula1>
    </dataValidation>
    <dataValidation type="custom" allowBlank="0" showInputMessage="1" showErrorMessage="1" errorStyle="stop" sqref="AD2:AD1048576" errorTitle="Unsafe text value" error="Enter text that does not begin with =, +, -, or @." promptTitle="Verified text" prompt="Paste values only; formula-leading text is rejected.">
      <formula1>AND(LEN(TRIM(AD2))&gt;0,NOT(OR(LEFT(AD2,1)="=",LEFT(AD2,1)="+",LEFT(AD2,1)="-",LEFT(AD2,1)="@")))</formula1>
    </dataValidation>
    <dataValidation type="custom" allowBlank="0" showInputMessage="1" showErrorMessage="1" errorStyle="stop" sqref="AE2:AE1048576" errorTitle="Unsafe text value" error="Enter text that does not begin with =, +, -, or @." promptTitle="Verified text" prompt="Paste values only; formula-leading text is rejected.">
      <formula1>AND(LEN(TRIM(AE2))&gt;0,NOT(OR(LEFT(AE2,1)="=",LEFT(AE2,1)="+",LEFT(AE2,1)="-",LEFT(AE2,1)="@")))</formula1>
    </dataValidation>
    <dataValidation type="custom" allowBlank="0" showInputMessage="1" showErrorMessage="1" errorStyle="stop" sqref="AF2:AF1048576" errorTitle="Unsafe text value" error="Enter text that does not begin with =, +, -, or @." promptTitle="Verified text" prompt="Paste values only; formula-leading text is rejected.">
      <formula1>AND(LEN(TRIM(AF2))&gt;0,NOT(OR(LEFT(AF2,1)="=",LEFT(AF2,1)="+",LEFT(AF2,1)="-",LEFT(AF2,1)="@")))</formula1>
    </dataValidation>
  </dataValidations>
  <pageMargins left="0.25" right="0.25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"/>
  <sheetData>
    <row r="1">
      <c r="A1" t="inlineStr">
        <is>
          <t>HEALTHY</t>
        </is>
      </c>
    </row>
    <row r="2">
      <c r="A2" t="inlineStr">
        <is>
          <t>DEGRADED</t>
        </is>
      </c>
    </row>
    <row r="3">
      <c r="A3" t="inlineStr">
        <is>
          <t>BLOCKED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ENTRAL Phase 204 deterministic XLSX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Weekly Command</vt:lpstr>
      <vt:lpstr>_Lists</vt:lpstr>
    </vt:vector>
  </TitlesOfParts>
  <Company>Sovereign Protocol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Owner Command Dashboard</dc:title>
  <dc:creator>Sovereign Protocol</dc:creator>
  <cp:lastModifiedBy>Sovereign Protocol</cp:lastModifiedBy>
  <dcterms:created xsi:type="dcterms:W3CDTF">2000-01-01T00:00:00Z</dcterms:created>
  <dcterms:modified xsi:type="dcterms:W3CDTF">2000-01-01T00:00:00Z</dcterms:modified>
</cp:coreProperties>
</file>